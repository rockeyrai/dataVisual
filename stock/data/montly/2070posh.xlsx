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harts/chart4.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2.xml" ContentType="application/vnd.openxmlformats-officedocument.drawingml.chart+xml"/>
  <Override PartName="/xl/charts/chart3.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xWindow="3885" yWindow="-165" windowWidth="9375" windowHeight="4665" tabRatio="905" firstSheet="4" activeTab="10"/>
  </bookViews>
  <sheets>
    <sheet name="Cumulative data" sheetId="72" r:id="rId1"/>
    <sheet name="Back year's Summary" sheetId="59" r:id="rId2"/>
    <sheet name="Summary Sheet" sheetId="66" r:id="rId3"/>
    <sheet name="Companywise Transaction" sheetId="14" r:id="rId4"/>
    <sheet name="Transaction of Promotor share" sheetId="61" r:id="rId5"/>
    <sheet name="Market Capitalization" sheetId="11" r:id="rId6"/>
    <sheet name="Index" sheetId="8" r:id="rId7"/>
    <sheet name="Sensitive M.Cap" sheetId="21" r:id="rId8"/>
    <sheet name=" Sensitive Index" sheetId="22" r:id="rId9"/>
    <sheet name="Float Index" sheetId="67" r:id="rId10"/>
    <sheet name="Monthly Closing Price" sheetId="73" r:id="rId11"/>
    <sheet name="Top Ten" sheetId="13" r:id="rId12"/>
  </sheets>
  <externalReferences>
    <externalReference r:id="rId13"/>
  </externalReferences>
  <definedNames>
    <definedName name="_xlnm._FilterDatabase" localSheetId="3" hidden="1">'Companywise Transaction'!$A$83:$I$105</definedName>
    <definedName name="Query1" localSheetId="0">#REF!</definedName>
    <definedName name="Query1">#REF!</definedName>
  </definedNames>
  <calcPr calcId="124519"/>
</workbook>
</file>

<file path=xl/calcChain.xml><?xml version="1.0" encoding="utf-8"?>
<calcChain xmlns="http://schemas.openxmlformats.org/spreadsheetml/2006/main">
  <c r="I70" i="73"/>
  <c r="G70"/>
  <c r="J6" i="72" l="1"/>
  <c r="I6"/>
  <c r="F114" i="66" l="1"/>
  <c r="F113"/>
  <c r="F110"/>
  <c r="F109"/>
  <c r="G8"/>
  <c r="F8"/>
  <c r="E8"/>
  <c r="D8"/>
  <c r="G40" i="59"/>
  <c r="G39"/>
  <c r="G38"/>
  <c r="G36"/>
  <c r="G35"/>
  <c r="G34"/>
  <c r="G32"/>
  <c r="G31"/>
  <c r="G30"/>
  <c r="G29"/>
  <c r="G27"/>
  <c r="F26"/>
  <c r="G25"/>
  <c r="F24"/>
  <c r="F23"/>
  <c r="F22"/>
  <c r="G21"/>
  <c r="F21"/>
  <c r="F20"/>
  <c r="G17"/>
  <c r="F17"/>
  <c r="G16"/>
  <c r="F16"/>
  <c r="G15"/>
  <c r="F15"/>
  <c r="G14"/>
  <c r="F14"/>
  <c r="G13"/>
  <c r="F13"/>
  <c r="G12"/>
  <c r="F12"/>
  <c r="G11"/>
  <c r="F11"/>
  <c r="G10"/>
  <c r="F10"/>
  <c r="G9"/>
  <c r="F9"/>
  <c r="G8"/>
  <c r="F8"/>
  <c r="G7"/>
  <c r="F7"/>
  <c r="G6"/>
  <c r="F6"/>
  <c r="G5"/>
  <c r="F5"/>
  <c r="G23" i="72"/>
  <c r="F23"/>
  <c r="G6"/>
  <c r="F6"/>
  <c r="E6"/>
  <c r="D6"/>
  <c r="G291" i="73" l="1"/>
  <c r="G290"/>
  <c r="G289"/>
  <c r="G288"/>
  <c r="G287"/>
  <c r="G286"/>
  <c r="G285"/>
  <c r="G284"/>
  <c r="G283"/>
  <c r="G282"/>
  <c r="G281"/>
  <c r="G280"/>
  <c r="G279"/>
  <c r="G278"/>
  <c r="G277"/>
  <c r="G276"/>
  <c r="G275"/>
  <c r="G274"/>
  <c r="G273"/>
  <c r="G272"/>
  <c r="G271"/>
  <c r="G270"/>
  <c r="G269"/>
  <c r="G268"/>
  <c r="G267"/>
  <c r="G266"/>
  <c r="G265"/>
  <c r="G264"/>
  <c r="G263"/>
  <c r="G262"/>
  <c r="G261"/>
  <c r="I257"/>
  <c r="G257"/>
  <c r="I256"/>
  <c r="G256"/>
  <c r="I255"/>
  <c r="G255"/>
  <c r="I254"/>
  <c r="G254"/>
  <c r="I253"/>
  <c r="G253"/>
  <c r="I252"/>
  <c r="G252"/>
  <c r="I251"/>
  <c r="I250"/>
  <c r="I249"/>
  <c r="G249"/>
  <c r="I248"/>
  <c r="G248"/>
  <c r="I247"/>
  <c r="G247"/>
  <c r="I246"/>
  <c r="G246"/>
  <c r="I245"/>
  <c r="G245"/>
  <c r="I244"/>
  <c r="G244"/>
  <c r="I243"/>
  <c r="G243"/>
  <c r="I242"/>
  <c r="G242"/>
  <c r="I241"/>
  <c r="G241"/>
  <c r="I240"/>
  <c r="G240"/>
  <c r="I239"/>
  <c r="G239"/>
  <c r="I238"/>
  <c r="G238"/>
  <c r="I237"/>
  <c r="G237"/>
  <c r="I236"/>
  <c r="G236"/>
  <c r="I235"/>
  <c r="G235"/>
  <c r="I234"/>
  <c r="G234"/>
  <c r="I233"/>
  <c r="G233"/>
  <c r="I232"/>
  <c r="G232"/>
  <c r="I231"/>
  <c r="G231"/>
  <c r="I230"/>
  <c r="G230"/>
  <c r="I229"/>
  <c r="G229"/>
  <c r="I228"/>
  <c r="G228"/>
  <c r="I227"/>
  <c r="G227"/>
  <c r="I226"/>
  <c r="G226"/>
  <c r="I225"/>
  <c r="G225"/>
  <c r="I224"/>
  <c r="G224"/>
  <c r="I223"/>
  <c r="G223"/>
  <c r="I222"/>
  <c r="G222"/>
  <c r="I221"/>
  <c r="G221"/>
  <c r="I220"/>
  <c r="G220"/>
  <c r="I219"/>
  <c r="G219"/>
  <c r="I218"/>
  <c r="G218"/>
  <c r="I217"/>
  <c r="G217"/>
  <c r="I216"/>
  <c r="G216"/>
  <c r="I215"/>
  <c r="G215"/>
  <c r="I214"/>
  <c r="G214"/>
  <c r="I213"/>
  <c r="G213"/>
  <c r="I212"/>
  <c r="G212"/>
  <c r="I211"/>
  <c r="G211"/>
  <c r="I210"/>
  <c r="G210"/>
  <c r="I209"/>
  <c r="G209"/>
  <c r="I208"/>
  <c r="G208"/>
  <c r="I207"/>
  <c r="G207"/>
  <c r="I206"/>
  <c r="G206"/>
  <c r="I205"/>
  <c r="G205"/>
  <c r="I204"/>
  <c r="G204"/>
  <c r="I203"/>
  <c r="G203"/>
  <c r="I202"/>
  <c r="G202"/>
  <c r="I201"/>
  <c r="G201"/>
  <c r="I200"/>
  <c r="G200"/>
  <c r="I199"/>
  <c r="G199"/>
  <c r="I198"/>
  <c r="G198"/>
  <c r="I197"/>
  <c r="G197"/>
  <c r="E196"/>
  <c r="G196" s="1"/>
  <c r="I195"/>
  <c r="G195"/>
  <c r="I194"/>
  <c r="G194"/>
  <c r="I193"/>
  <c r="G193"/>
  <c r="I192"/>
  <c r="G192"/>
  <c r="I191"/>
  <c r="G191"/>
  <c r="I190"/>
  <c r="G190"/>
  <c r="I189"/>
  <c r="G189"/>
  <c r="I188"/>
  <c r="G188"/>
  <c r="I187"/>
  <c r="G187"/>
  <c r="E186"/>
  <c r="G186" s="1"/>
  <c r="I185"/>
  <c r="G185"/>
  <c r="I184"/>
  <c r="G184"/>
  <c r="I183"/>
  <c r="G183"/>
  <c r="I182"/>
  <c r="G182"/>
  <c r="I181"/>
  <c r="G181"/>
  <c r="I180"/>
  <c r="G180"/>
  <c r="I179"/>
  <c r="G179"/>
  <c r="I178"/>
  <c r="G178"/>
  <c r="E177"/>
  <c r="G177" s="1"/>
  <c r="I176"/>
  <c r="G176"/>
  <c r="I175"/>
  <c r="G175"/>
  <c r="I174"/>
  <c r="G174"/>
  <c r="I173"/>
  <c r="G173"/>
  <c r="I172"/>
  <c r="G172"/>
  <c r="I171"/>
  <c r="G171"/>
  <c r="I170"/>
  <c r="G170"/>
  <c r="I169"/>
  <c r="G169"/>
  <c r="I166"/>
  <c r="G166"/>
  <c r="I165"/>
  <c r="G165"/>
  <c r="I164"/>
  <c r="G164"/>
  <c r="I163"/>
  <c r="G163"/>
  <c r="I162"/>
  <c r="I161"/>
  <c r="G161"/>
  <c r="I160"/>
  <c r="G160"/>
  <c r="I159"/>
  <c r="G159"/>
  <c r="I158"/>
  <c r="G158"/>
  <c r="I157"/>
  <c r="G157"/>
  <c r="I156"/>
  <c r="G156"/>
  <c r="I155"/>
  <c r="G155"/>
  <c r="I154"/>
  <c r="G154"/>
  <c r="E153"/>
  <c r="G153" s="1"/>
  <c r="I152"/>
  <c r="G152"/>
  <c r="I151"/>
  <c r="G151"/>
  <c r="E150"/>
  <c r="G150" s="1"/>
  <c r="I149"/>
  <c r="G149"/>
  <c r="I148"/>
  <c r="G148"/>
  <c r="I147"/>
  <c r="G147"/>
  <c r="E146"/>
  <c r="G146" s="1"/>
  <c r="I145"/>
  <c r="G145"/>
  <c r="I144"/>
  <c r="G144"/>
  <c r="I143"/>
  <c r="G143"/>
  <c r="I142"/>
  <c r="G142"/>
  <c r="I141"/>
  <c r="G141"/>
  <c r="I140"/>
  <c r="G140"/>
  <c r="I139"/>
  <c r="G139"/>
  <c r="E138"/>
  <c r="G138" s="1"/>
  <c r="I137"/>
  <c r="G137"/>
  <c r="I136"/>
  <c r="G136"/>
  <c r="I135"/>
  <c r="G135"/>
  <c r="E134"/>
  <c r="I134" s="1"/>
  <c r="I133"/>
  <c r="G133"/>
  <c r="I132"/>
  <c r="G132"/>
  <c r="I131"/>
  <c r="G131"/>
  <c r="I130"/>
  <c r="G130"/>
  <c r="I129"/>
  <c r="G129"/>
  <c r="I128"/>
  <c r="G128"/>
  <c r="I127"/>
  <c r="G127"/>
  <c r="I126"/>
  <c r="G126"/>
  <c r="E125"/>
  <c r="G125" s="1"/>
  <c r="I124"/>
  <c r="G124"/>
  <c r="I123"/>
  <c r="G123"/>
  <c r="I122"/>
  <c r="G122"/>
  <c r="E121"/>
  <c r="G121" s="1"/>
  <c r="I120"/>
  <c r="G120"/>
  <c r="I119"/>
  <c r="G119"/>
  <c r="I118"/>
  <c r="G118"/>
  <c r="I117"/>
  <c r="G117"/>
  <c r="I116"/>
  <c r="G116"/>
  <c r="I115"/>
  <c r="G115"/>
  <c r="I114"/>
  <c r="G114"/>
  <c r="I113"/>
  <c r="G113"/>
  <c r="I112"/>
  <c r="G112"/>
  <c r="I111"/>
  <c r="G111"/>
  <c r="I110"/>
  <c r="G110"/>
  <c r="I109"/>
  <c r="G109"/>
  <c r="I108"/>
  <c r="G108"/>
  <c r="I107"/>
  <c r="G107"/>
  <c r="I106"/>
  <c r="G106"/>
  <c r="I105"/>
  <c r="G105"/>
  <c r="I104"/>
  <c r="G104"/>
  <c r="I101"/>
  <c r="G101"/>
  <c r="I100"/>
  <c r="G100"/>
  <c r="I99"/>
  <c r="G99"/>
  <c r="I98"/>
  <c r="G98"/>
  <c r="I97"/>
  <c r="G97"/>
  <c r="I96"/>
  <c r="G96"/>
  <c r="I95"/>
  <c r="G95"/>
  <c r="I94"/>
  <c r="G94"/>
  <c r="I93"/>
  <c r="G93"/>
  <c r="I92"/>
  <c r="G92"/>
  <c r="I91"/>
  <c r="G91"/>
  <c r="I90"/>
  <c r="G90"/>
  <c r="I89"/>
  <c r="G89"/>
  <c r="I88"/>
  <c r="G88"/>
  <c r="I87"/>
  <c r="G87"/>
  <c r="I86"/>
  <c r="G86"/>
  <c r="E85"/>
  <c r="G85" s="1"/>
  <c r="I84"/>
  <c r="G84"/>
  <c r="I83"/>
  <c r="G83"/>
  <c r="I82"/>
  <c r="G82"/>
  <c r="E81"/>
  <c r="I81" s="1"/>
  <c r="I80"/>
  <c r="G80"/>
  <c r="I77"/>
  <c r="G77"/>
  <c r="I76"/>
  <c r="G76"/>
  <c r="E75"/>
  <c r="G75" s="1"/>
  <c r="I74"/>
  <c r="G74"/>
  <c r="I71"/>
  <c r="G71"/>
  <c r="I69"/>
  <c r="G69"/>
  <c r="I68"/>
  <c r="G68"/>
  <c r="E67"/>
  <c r="E72" s="1"/>
  <c r="I64"/>
  <c r="G64"/>
  <c r="E63"/>
  <c r="E65" s="1"/>
  <c r="E61"/>
  <c r="I60"/>
  <c r="G60"/>
  <c r="I59"/>
  <c r="G59"/>
  <c r="I58"/>
  <c r="G58"/>
  <c r="I57"/>
  <c r="G57"/>
  <c r="I54"/>
  <c r="G54"/>
  <c r="I53"/>
  <c r="G53"/>
  <c r="E52"/>
  <c r="I52" s="1"/>
  <c r="I51"/>
  <c r="G51"/>
  <c r="I50"/>
  <c r="G50"/>
  <c r="I49"/>
  <c r="G49"/>
  <c r="I48"/>
  <c r="G48"/>
  <c r="I47"/>
  <c r="G47"/>
  <c r="I46"/>
  <c r="G46"/>
  <c r="I45"/>
  <c r="G45"/>
  <c r="I44"/>
  <c r="G44"/>
  <c r="I43"/>
  <c r="G43"/>
  <c r="I42"/>
  <c r="G42"/>
  <c r="I41"/>
  <c r="G41"/>
  <c r="I40"/>
  <c r="G40"/>
  <c r="I39"/>
  <c r="G39"/>
  <c r="I38"/>
  <c r="G38"/>
  <c r="I37"/>
  <c r="G37"/>
  <c r="E35"/>
  <c r="I34"/>
  <c r="G34"/>
  <c r="I33"/>
  <c r="G33"/>
  <c r="I32"/>
  <c r="G32"/>
  <c r="I31"/>
  <c r="G31"/>
  <c r="I30"/>
  <c r="G30"/>
  <c r="I29"/>
  <c r="G29"/>
  <c r="I28"/>
  <c r="G28"/>
  <c r="I27"/>
  <c r="G27"/>
  <c r="I26"/>
  <c r="G26"/>
  <c r="I25"/>
  <c r="G25"/>
  <c r="I24"/>
  <c r="G24"/>
  <c r="I23"/>
  <c r="G23"/>
  <c r="I22"/>
  <c r="G22"/>
  <c r="I21"/>
  <c r="G21"/>
  <c r="I20"/>
  <c r="G20"/>
  <c r="I19"/>
  <c r="G19"/>
  <c r="I18"/>
  <c r="G18"/>
  <c r="I17"/>
  <c r="G17"/>
  <c r="I16"/>
  <c r="G16"/>
  <c r="I15"/>
  <c r="G15"/>
  <c r="I14"/>
  <c r="G14"/>
  <c r="I13"/>
  <c r="G13"/>
  <c r="I12"/>
  <c r="G12"/>
  <c r="I11"/>
  <c r="G11"/>
  <c r="I10"/>
  <c r="G10"/>
  <c r="I9"/>
  <c r="G9"/>
  <c r="I8"/>
  <c r="G8"/>
  <c r="I7"/>
  <c r="G7"/>
  <c r="I6"/>
  <c r="G6"/>
  <c r="I150" l="1"/>
  <c r="G134"/>
  <c r="G167" s="1"/>
  <c r="G61"/>
  <c r="I146"/>
  <c r="I177"/>
  <c r="I35"/>
  <c r="I153"/>
  <c r="G35"/>
  <c r="I61"/>
  <c r="G78"/>
  <c r="E167"/>
  <c r="I55"/>
  <c r="G52"/>
  <c r="G55" s="1"/>
  <c r="G81"/>
  <c r="G102" s="1"/>
  <c r="I196"/>
  <c r="G258"/>
  <c r="E258"/>
  <c r="E55"/>
  <c r="I63"/>
  <c r="I65" s="1"/>
  <c r="I67"/>
  <c r="I72" s="1"/>
  <c r="I75"/>
  <c r="I78" s="1"/>
  <c r="I85"/>
  <c r="I102" s="1"/>
  <c r="I125"/>
  <c r="I138"/>
  <c r="I186"/>
  <c r="E78"/>
  <c r="E102"/>
  <c r="G63"/>
  <c r="G65" s="1"/>
  <c r="G67"/>
  <c r="G72" s="1"/>
  <c r="I121"/>
  <c r="I258" l="1"/>
  <c r="E259"/>
  <c r="I167"/>
  <c r="G259"/>
  <c r="I259" l="1"/>
  <c r="K8" i="66" l="1"/>
  <c r="F116"/>
  <c r="I17" i="59"/>
  <c r="F106" i="66" l="1"/>
  <c r="E538" i="73"/>
  <c r="E536"/>
  <c r="E535"/>
  <c r="E533"/>
  <c r="E532"/>
  <c r="E531"/>
  <c r="E530"/>
  <c r="G365"/>
  <c r="G364"/>
  <c r="G363"/>
  <c r="G362"/>
  <c r="G361"/>
  <c r="G360"/>
  <c r="G359"/>
  <c r="G358"/>
  <c r="G357"/>
  <c r="G356"/>
  <c r="G355"/>
  <c r="G354"/>
  <c r="G352"/>
  <c r="G351"/>
  <c r="G350"/>
  <c r="G349"/>
  <c r="G348"/>
  <c r="G347"/>
  <c r="G346"/>
  <c r="G345"/>
  <c r="G344"/>
  <c r="G343"/>
  <c r="G342"/>
  <c r="G341"/>
  <c r="G336"/>
  <c r="G335"/>
  <c r="G334"/>
  <c r="G333"/>
  <c r="G332"/>
  <c r="G331"/>
  <c r="G330"/>
  <c r="G329"/>
  <c r="G328"/>
  <c r="G327"/>
  <c r="I326"/>
  <c r="G326"/>
  <c r="I325"/>
  <c r="G325"/>
  <c r="I324"/>
  <c r="G324"/>
  <c r="G323"/>
  <c r="G322"/>
  <c r="G321"/>
  <c r="G320"/>
  <c r="G319"/>
  <c r="G318"/>
  <c r="G317"/>
  <c r="G316"/>
  <c r="G315"/>
  <c r="G314"/>
  <c r="G313"/>
  <c r="G312"/>
  <c r="G311"/>
  <c r="G310"/>
  <c r="G309"/>
  <c r="G308"/>
  <c r="G307"/>
  <c r="G306"/>
  <c r="G305"/>
  <c r="G304"/>
  <c r="G303"/>
  <c r="G302"/>
  <c r="G301"/>
  <c r="G300"/>
  <c r="G299"/>
  <c r="G298"/>
  <c r="G297"/>
  <c r="G296"/>
  <c r="E115" i="66" l="1"/>
  <c r="F112"/>
  <c r="F115" s="1"/>
  <c r="E111"/>
  <c r="F108"/>
  <c r="F111" s="1"/>
  <c r="E107"/>
  <c r="E100"/>
  <c r="E97"/>
  <c r="K16" i="72"/>
  <c r="G375" i="73" l="1"/>
  <c r="G373"/>
  <c r="E118" i="66"/>
  <c r="F107"/>
  <c r="G377" i="73" l="1"/>
  <c r="G372"/>
  <c r="G366"/>
  <c r="G376"/>
  <c r="G374"/>
  <c r="G367"/>
  <c r="F99" i="66"/>
  <c r="F100" s="1"/>
  <c r="F96"/>
  <c r="F97" s="1"/>
  <c r="E95"/>
  <c r="E101" s="1"/>
  <c r="F94"/>
  <c r="F93"/>
  <c r="F92"/>
  <c r="F91"/>
  <c r="E84"/>
  <c r="E78"/>
  <c r="F76"/>
  <c r="F75"/>
  <c r="F74"/>
  <c r="F77"/>
  <c r="E85" l="1"/>
  <c r="F95"/>
  <c r="F101" s="1"/>
  <c r="F83"/>
  <c r="F82"/>
  <c r="F81"/>
  <c r="F80"/>
  <c r="F79"/>
  <c r="F73"/>
  <c r="F72"/>
  <c r="F71"/>
  <c r="F84" l="1"/>
  <c r="F78"/>
  <c r="F85" s="1"/>
  <c r="H17" i="59"/>
  <c r="H14"/>
  <c r="H13"/>
  <c r="H12"/>
  <c r="H5"/>
  <c r="H6"/>
  <c r="H7"/>
  <c r="H8"/>
  <c r="H9"/>
  <c r="H10"/>
  <c r="H11"/>
  <c r="H22"/>
  <c r="H25"/>
  <c r="H26"/>
  <c r="H27"/>
  <c r="H29"/>
  <c r="H30"/>
  <c r="H31"/>
  <c r="H32"/>
  <c r="H34"/>
  <c r="H35"/>
  <c r="H36"/>
  <c r="H38"/>
  <c r="H39"/>
  <c r="H40"/>
  <c r="J35" i="66" l="1"/>
  <c r="J30"/>
  <c r="J28"/>
  <c r="I29"/>
  <c r="I27"/>
  <c r="K43" i="72" l="1"/>
  <c r="H43"/>
  <c r="K42"/>
  <c r="H42"/>
  <c r="K41"/>
  <c r="H41"/>
  <c r="K39"/>
  <c r="H39"/>
  <c r="K38"/>
  <c r="H38"/>
  <c r="K37"/>
  <c r="H37"/>
  <c r="K35"/>
  <c r="H35"/>
  <c r="K34"/>
  <c r="H34"/>
  <c r="K33"/>
  <c r="H33"/>
  <c r="K32"/>
  <c r="H32"/>
  <c r="K31"/>
  <c r="H31"/>
  <c r="K29"/>
  <c r="H29"/>
  <c r="K28"/>
  <c r="H28"/>
  <c r="K27"/>
  <c r="H27"/>
  <c r="K26"/>
  <c r="K25"/>
  <c r="H25"/>
  <c r="K24"/>
  <c r="H24"/>
  <c r="K22"/>
  <c r="K18"/>
  <c r="H18"/>
  <c r="K17"/>
  <c r="H17"/>
  <c r="H16"/>
  <c r="K15"/>
  <c r="H15"/>
  <c r="K14"/>
  <c r="H14"/>
  <c r="K13"/>
  <c r="H13"/>
  <c r="K12"/>
  <c r="H12"/>
  <c r="K11"/>
  <c r="H11"/>
  <c r="K10"/>
  <c r="H10"/>
  <c r="K9"/>
  <c r="H9"/>
  <c r="K8"/>
  <c r="H8"/>
  <c r="K7"/>
  <c r="H7"/>
  <c r="I23"/>
  <c r="K6" l="1"/>
  <c r="H6"/>
  <c r="J23"/>
  <c r="K23" s="1"/>
  <c r="E64" i="66" l="1"/>
  <c r="E61"/>
  <c r="F60"/>
  <c r="F59"/>
  <c r="F58"/>
  <c r="F63"/>
  <c r="F57"/>
  <c r="F56"/>
  <c r="F55"/>
  <c r="F54"/>
  <c r="F53"/>
  <c r="F52"/>
  <c r="F51"/>
  <c r="F50"/>
  <c r="F49"/>
  <c r="F62"/>
  <c r="J43" i="59"/>
  <c r="F64" i="66" l="1"/>
  <c r="E65"/>
  <c r="F48"/>
  <c r="F61" l="1"/>
  <c r="F65" s="1"/>
  <c r="I6" i="59" l="1"/>
  <c r="I7"/>
  <c r="I8"/>
  <c r="I9"/>
  <c r="I10"/>
  <c r="I11"/>
  <c r="I12"/>
  <c r="I13"/>
  <c r="I14"/>
  <c r="I15"/>
  <c r="I16"/>
  <c r="H18" i="66" l="1"/>
  <c r="K18" l="1"/>
  <c r="K15" l="1"/>
  <c r="K12"/>
  <c r="H12" l="1"/>
  <c r="J40" i="59" l="1"/>
  <c r="J36"/>
  <c r="J31"/>
  <c r="J32"/>
  <c r="J27"/>
  <c r="J25"/>
  <c r="I26"/>
  <c r="J6"/>
  <c r="J7"/>
  <c r="J8"/>
  <c r="J9"/>
  <c r="J10"/>
  <c r="J11"/>
  <c r="J12"/>
  <c r="J13"/>
  <c r="J14"/>
  <c r="J15"/>
  <c r="K15" s="1"/>
  <c r="J16"/>
  <c r="K16" s="1"/>
  <c r="J17"/>
  <c r="K17" s="1"/>
  <c r="J29"/>
  <c r="J30"/>
  <c r="J34"/>
  <c r="J35"/>
  <c r="J38"/>
  <c r="J39"/>
  <c r="I20"/>
  <c r="I22"/>
  <c r="I23"/>
  <c r="K43" i="66" l="1"/>
  <c r="H43"/>
  <c r="K42"/>
  <c r="H42"/>
  <c r="K41"/>
  <c r="H41"/>
  <c r="K39"/>
  <c r="H39"/>
  <c r="K38"/>
  <c r="H38"/>
  <c r="K37"/>
  <c r="H37"/>
  <c r="K35"/>
  <c r="H35"/>
  <c r="K34"/>
  <c r="H34"/>
  <c r="K33"/>
  <c r="H33"/>
  <c r="K32"/>
  <c r="H32"/>
  <c r="K30"/>
  <c r="H30"/>
  <c r="K29"/>
  <c r="H29"/>
  <c r="K28"/>
  <c r="H28"/>
  <c r="K20"/>
  <c r="H20"/>
  <c r="H19"/>
  <c r="K17"/>
  <c r="H17"/>
  <c r="K16"/>
  <c r="H16"/>
  <c r="K14"/>
  <c r="H14"/>
  <c r="K13"/>
  <c r="H13"/>
  <c r="K11"/>
  <c r="H11"/>
  <c r="K10"/>
  <c r="H10"/>
  <c r="K9"/>
  <c r="H9"/>
  <c r="I24" i="59" l="1"/>
  <c r="J5"/>
  <c r="I24" i="66"/>
  <c r="I21" i="59" s="1"/>
  <c r="I5"/>
  <c r="H8" i="66"/>
  <c r="J24"/>
  <c r="J21" i="59" s="1"/>
  <c r="K14" l="1"/>
  <c r="K13"/>
  <c r="K11"/>
  <c r="K10"/>
  <c r="K40"/>
  <c r="K31"/>
  <c r="K27"/>
  <c r="K26"/>
  <c r="K25"/>
  <c r="K8"/>
  <c r="K24"/>
  <c r="K6"/>
  <c r="K7"/>
  <c r="K22"/>
  <c r="K23"/>
  <c r="K29"/>
  <c r="K30"/>
  <c r="K34"/>
  <c r="K35"/>
  <c r="K36"/>
  <c r="K38"/>
  <c r="K39"/>
  <c r="H42"/>
  <c r="K42"/>
  <c r="H43"/>
  <c r="K43"/>
  <c r="K5"/>
  <c r="K32"/>
</calcChain>
</file>

<file path=xl/comments1.xml><?xml version="1.0" encoding="utf-8"?>
<comments xmlns="http://schemas.openxmlformats.org/spreadsheetml/2006/main">
  <authors>
    <author>Basu Dev Pandey</author>
  </authors>
  <commentList>
    <comment ref="A148" authorId="0">
      <text>
        <r>
          <rPr>
            <b/>
            <sz val="8"/>
            <color indexed="81"/>
            <rFont val="Tahoma"/>
            <family val="2"/>
          </rPr>
          <t>Basu Dev Pandey:</t>
        </r>
        <r>
          <rPr>
            <sz val="8"/>
            <color indexed="81"/>
            <rFont val="Tahoma"/>
            <family val="2"/>
          </rPr>
          <t xml:space="preserve">
List Date: 2008/12/16
Opened for trading 2008/12/24
</t>
        </r>
      </text>
    </comment>
  </commentList>
</comments>
</file>

<file path=xl/sharedStrings.xml><?xml version="1.0" encoding="utf-8"?>
<sst xmlns="http://schemas.openxmlformats.org/spreadsheetml/2006/main" count="1922" uniqueCount="1085">
  <si>
    <t>Chhimek Laghubitta Bikas Bank Ltd.</t>
  </si>
  <si>
    <t>I</t>
  </si>
  <si>
    <t>Bank</t>
  </si>
  <si>
    <t xml:space="preserve"> </t>
  </si>
  <si>
    <t>Bank of Kathmandu</t>
  </si>
  <si>
    <t>Trading</t>
  </si>
  <si>
    <t>Others</t>
  </si>
  <si>
    <t>Nepal SBI Bank Limited</t>
  </si>
  <si>
    <t xml:space="preserve">Share units </t>
  </si>
  <si>
    <t>Particulars</t>
  </si>
  <si>
    <t>( '000 )</t>
  </si>
  <si>
    <t>Turnover</t>
  </si>
  <si>
    <t xml:space="preserve">Insurance </t>
  </si>
  <si>
    <t>Finance</t>
  </si>
  <si>
    <t>Manufacturing &amp; Processing</t>
  </si>
  <si>
    <t xml:space="preserve">Hotel </t>
  </si>
  <si>
    <t>Other</t>
  </si>
  <si>
    <t>Market days</t>
  </si>
  <si>
    <t>Average daily turnover</t>
  </si>
  <si>
    <t>Number of transactions</t>
  </si>
  <si>
    <t>Number of Companies Listed</t>
  </si>
  <si>
    <t>High</t>
  </si>
  <si>
    <t>Low</t>
  </si>
  <si>
    <t>Closing</t>
  </si>
  <si>
    <t>Company wise Transactions</t>
  </si>
  <si>
    <t xml:space="preserve">Traded </t>
  </si>
  <si>
    <t>Name of the company</t>
  </si>
  <si>
    <t>Quantity</t>
  </si>
  <si>
    <t>( in '000)</t>
  </si>
  <si>
    <t>Hotel</t>
  </si>
  <si>
    <t>Himalayan Bank Ltd.</t>
  </si>
  <si>
    <t>Amount Traded</t>
  </si>
  <si>
    <t>Everest Bank Ltd</t>
  </si>
  <si>
    <t>Insurance</t>
  </si>
  <si>
    <t>Nepal Investment Bank Ltd.</t>
  </si>
  <si>
    <t>Nabil Bank Ltd.</t>
  </si>
  <si>
    <t>Standard Chartered Bank Ltd.</t>
  </si>
  <si>
    <t>United Finance Ltd</t>
  </si>
  <si>
    <t>Capitalization</t>
  </si>
  <si>
    <t>Siddhartha Bank Limited</t>
  </si>
  <si>
    <t>Name of the Companies</t>
  </si>
  <si>
    <t>List of Top Ten Companies</t>
  </si>
  <si>
    <t>No of Transactions</t>
  </si>
  <si>
    <t>No Of Share</t>
  </si>
  <si>
    <t>(Traded in '000)</t>
  </si>
  <si>
    <t>Rs. In Million</t>
  </si>
  <si>
    <t>Lumbini General Insurance</t>
  </si>
  <si>
    <t>Dev.</t>
  </si>
  <si>
    <t>A</t>
  </si>
  <si>
    <t>B</t>
  </si>
  <si>
    <t>C</t>
  </si>
  <si>
    <t>D</t>
  </si>
  <si>
    <t>E</t>
  </si>
  <si>
    <t>F</t>
  </si>
  <si>
    <t>G</t>
  </si>
  <si>
    <t>H</t>
  </si>
  <si>
    <t>Market Capitalization</t>
  </si>
  <si>
    <t>Total Number of Listed Securities</t>
  </si>
  <si>
    <t>NEPSE Index at the end of Month</t>
  </si>
  <si>
    <t>Development Bank</t>
  </si>
  <si>
    <t>Commercial Bank</t>
  </si>
  <si>
    <t>Total</t>
  </si>
  <si>
    <t xml:space="preserve">Trading </t>
  </si>
  <si>
    <t>Date</t>
  </si>
  <si>
    <t>Com.</t>
  </si>
  <si>
    <t>Lumbini Bank Ltd.</t>
  </si>
  <si>
    <t>SN</t>
  </si>
  <si>
    <t>Comparative Summary Sheet of Transactions with Previous Years</t>
  </si>
  <si>
    <t>Change</t>
  </si>
  <si>
    <t>%</t>
  </si>
  <si>
    <t>in</t>
  </si>
  <si>
    <t>NEPSE Sensitive Index</t>
  </si>
  <si>
    <t>Sensitive</t>
  </si>
  <si>
    <t>Hydro</t>
  </si>
  <si>
    <t>Power</t>
  </si>
  <si>
    <t>Hydro Power</t>
  </si>
  <si>
    <t>Traded Share</t>
  </si>
  <si>
    <t>Government Bond</t>
  </si>
  <si>
    <t>Corporate Bond</t>
  </si>
  <si>
    <t>i</t>
  </si>
  <si>
    <t>ii</t>
  </si>
  <si>
    <t>Manufact-</t>
  </si>
  <si>
    <t>&amp; Pros.</t>
  </si>
  <si>
    <t>Price</t>
  </si>
  <si>
    <t>Kumari Bank Ltd</t>
  </si>
  <si>
    <t>Chilime Hydro power Co.</t>
  </si>
  <si>
    <t>Nepal Life Insurance Co. Ltd.</t>
  </si>
  <si>
    <t>Life Insurance Co. Nepal</t>
  </si>
  <si>
    <t>Janaki Finance Ltd.</t>
  </si>
  <si>
    <t>ICFC Bittya Sanstha Ltd.</t>
  </si>
  <si>
    <t>Man.</t>
  </si>
  <si>
    <t>&amp; Processing</t>
  </si>
  <si>
    <t>Average</t>
  </si>
  <si>
    <t>Malika Bikash Bank Limited</t>
  </si>
  <si>
    <t>Trades</t>
  </si>
  <si>
    <t>Preferred Stock</t>
  </si>
  <si>
    <t>-</t>
  </si>
  <si>
    <t>J</t>
  </si>
  <si>
    <t>K</t>
  </si>
  <si>
    <t>Mutual Fund</t>
  </si>
  <si>
    <t xml:space="preserve">Promotor Share Transaction </t>
  </si>
  <si>
    <t>Company wise Transactions of Promotor Share</t>
  </si>
  <si>
    <t>Promotor Share</t>
  </si>
  <si>
    <t>Amount</t>
  </si>
  <si>
    <t>Rs. In million</t>
  </si>
  <si>
    <t>Rs. in million</t>
  </si>
  <si>
    <t>Number</t>
  </si>
  <si>
    <t>Of</t>
  </si>
  <si>
    <t>Rs.in million</t>
  </si>
  <si>
    <t>of</t>
  </si>
  <si>
    <t>NEPSE</t>
  </si>
  <si>
    <t>On the Basis of Traded Amount</t>
  </si>
  <si>
    <t>On the Basis of Market Capitalization</t>
  </si>
  <si>
    <t>Market Capitalization of Group -A</t>
  </si>
  <si>
    <t>NEPSE Index</t>
  </si>
  <si>
    <t>INDEX</t>
  </si>
  <si>
    <t xml:space="preserve">NEPSE Sensitive-INDEX </t>
  </si>
  <si>
    <t>Rs. in millions</t>
  </si>
  <si>
    <t>Comparative Summary Sheet of Transactions with Previous Months</t>
  </si>
  <si>
    <t>NMB Bank Ltd.</t>
  </si>
  <si>
    <t>Name of Companies</t>
  </si>
  <si>
    <t xml:space="preserve"> Type of Securities</t>
  </si>
  <si>
    <t>Listed Sucurities in '000'</t>
  </si>
  <si>
    <t>Listed Date</t>
  </si>
  <si>
    <t>Grand Total</t>
  </si>
  <si>
    <t>Nepal Doorsanchar Company Limited</t>
  </si>
  <si>
    <t xml:space="preserve">Total Paid Up Value of Listed Share </t>
  </si>
  <si>
    <t>Float Index</t>
  </si>
  <si>
    <t>Index</t>
  </si>
  <si>
    <t>NEPSE Float Index at the end of Month</t>
  </si>
  <si>
    <t>Bond Market (Total Listed)</t>
  </si>
  <si>
    <t>Float M.Ca</t>
  </si>
  <si>
    <t>Sectorwise Sensitive Market Capitalization</t>
  </si>
  <si>
    <t>Float Market Capitalization &amp; INDEX</t>
  </si>
  <si>
    <t xml:space="preserve"> Float</t>
  </si>
  <si>
    <t>Sen. Float M.Ca</t>
  </si>
  <si>
    <t>Number of Scrips Traded</t>
  </si>
  <si>
    <t>Clean Energy Development Bank Limited</t>
  </si>
  <si>
    <t>Prime Commercial Bank Limited</t>
  </si>
  <si>
    <t>Sunrise Bank Limited</t>
  </si>
  <si>
    <t>National LifeInsu. Co.Ltd.</t>
  </si>
  <si>
    <t>Shikhar Insurance Co. Ltd.</t>
  </si>
  <si>
    <t>Days</t>
  </si>
  <si>
    <t>Ace Development Bank Limited</t>
  </si>
  <si>
    <t>Mahakali Bikas Bank Ltd.</t>
  </si>
  <si>
    <t>Miteri Development Bank Limited</t>
  </si>
  <si>
    <t>Sagarmatha Insurance Co.Ltd</t>
  </si>
  <si>
    <t>Swabalamwan Bikash Bank</t>
  </si>
  <si>
    <t>Sewa Bikas Bank Limited</t>
  </si>
  <si>
    <t>Nerude Laghubita Bikas Bank Limited</t>
  </si>
  <si>
    <t>Agriculture Development Bank Limited</t>
  </si>
  <si>
    <t>City Development Bank Limtied</t>
  </si>
  <si>
    <t>Laxmi Bank Limited</t>
  </si>
  <si>
    <t>Citizen Investment Trust</t>
  </si>
  <si>
    <t>Nilgiri Bikas Bank Limited</t>
  </si>
  <si>
    <t>Diprox Development Bank</t>
  </si>
  <si>
    <t>Alpine Development Bank Limited</t>
  </si>
  <si>
    <t>Zenith Finance Limited</t>
  </si>
  <si>
    <t>Gaurishankar Development Bank Ltd.</t>
  </si>
  <si>
    <t>On the Basis of  Number of Shares Traded</t>
  </si>
  <si>
    <t>On the Basis of Number of Transactions</t>
  </si>
  <si>
    <t>Garima Bikash Bank Limited</t>
  </si>
  <si>
    <t>Jyoti Bikash Bank Limited</t>
  </si>
  <si>
    <t>Nepal Bangladesh Bank Ltd.</t>
  </si>
  <si>
    <t>Bishwa Bikas Bank Limited</t>
  </si>
  <si>
    <t>Guras Life Insurance Co. Ltd.</t>
  </si>
  <si>
    <t>Oriental Hotel Ltd.</t>
  </si>
  <si>
    <t>Butwal Power Co. Ltd.</t>
  </si>
  <si>
    <t>Kaski Finance Limited</t>
  </si>
  <si>
    <t>Kamana Bikas Bank Limited</t>
  </si>
  <si>
    <t>Western Development Bank Limited</t>
  </si>
  <si>
    <t>Muktinath Bikas Bank Ltd.</t>
  </si>
  <si>
    <t>Seti Bittiya Sanstha Limited</t>
  </si>
  <si>
    <t>Unique Financial Institution Limited</t>
  </si>
  <si>
    <t>H &amp; B Development Bank Ltd.</t>
  </si>
  <si>
    <t>Country Development Bank Ltd.</t>
  </si>
  <si>
    <t>Narayani National Finance Co. Ltd.</t>
  </si>
  <si>
    <t>Union Finance Ltd.</t>
  </si>
  <si>
    <t>Nirdhan Utthan Bank Ltd.</t>
  </si>
  <si>
    <t>Sahayogi Vikas Bank</t>
  </si>
  <si>
    <t>Om Finance Ltd.</t>
  </si>
  <si>
    <t>Sanima Bank Ltd.</t>
  </si>
  <si>
    <t>Nepal Credit And Com. Bank</t>
  </si>
  <si>
    <t>Purnima Bikas Bank Limited</t>
  </si>
  <si>
    <t>Kailash Bikas Bank Ltd.</t>
  </si>
  <si>
    <t>NABIL Bank Limited Promotor Share</t>
  </si>
  <si>
    <t>Multipurpose Finance Co. Ltd.</t>
  </si>
  <si>
    <t>Taragaon Regency Hotel</t>
  </si>
  <si>
    <t>Soaltee Hotel Ltd.</t>
  </si>
  <si>
    <t>First Microfinance Development Bank Ltd.</t>
  </si>
  <si>
    <t>Summit Micro Finance Development Bank Ltd.</t>
  </si>
  <si>
    <t>Kankai Bikas Bank Ltd.</t>
  </si>
  <si>
    <t>Kasthamandap Development Bank Ltd.</t>
  </si>
  <si>
    <t>Prudential Insurance Co.</t>
  </si>
  <si>
    <t>Machhachapuchhre Bank Ltd</t>
  </si>
  <si>
    <t>BONUS</t>
  </si>
  <si>
    <t>International Leasing And Fin. Co.</t>
  </si>
  <si>
    <t>Subhechha Bikas Bank Limited</t>
  </si>
  <si>
    <t>Global IME Bank Limited</t>
  </si>
  <si>
    <t>Supreme Development Bank Ltd.</t>
  </si>
  <si>
    <t>Pokhara Finance Ltd.</t>
  </si>
  <si>
    <t>Metro Development Bank Limited</t>
  </si>
  <si>
    <t>Tourism Development Bank Ltd.</t>
  </si>
  <si>
    <t>Bottlers Nepal (Terai)Ltd.</t>
  </si>
  <si>
    <t>Uniliver Nepal Ltd.</t>
  </si>
  <si>
    <t>Bishal Bazar Co. Ltd.</t>
  </si>
  <si>
    <t>Nepal Insurance Co.Ltd.</t>
  </si>
  <si>
    <t>Shree Investment Finance Co. Ltd</t>
  </si>
  <si>
    <t>Triveni Bikas Bank Limited</t>
  </si>
  <si>
    <t>Business Universal Development Bank Ltd.</t>
  </si>
  <si>
    <t>Tinau Development Bank Limited</t>
  </si>
  <si>
    <t>Siddhartha Investment Growth Scheme-1</t>
  </si>
  <si>
    <t>Civil Bank Ltd</t>
  </si>
  <si>
    <t>Premier Insurance co. Ltd.</t>
  </si>
  <si>
    <t>NIDC Capital Markets Ltd.</t>
  </si>
  <si>
    <t>Peoples Finance Limited.</t>
  </si>
  <si>
    <t>Lumbini Finance Ltd.</t>
  </si>
  <si>
    <t>Nabil Balance Fund 1</t>
  </si>
  <si>
    <t>National Hydro Power Co.</t>
  </si>
  <si>
    <t>Himalayan Gen.Insu. Co.Ltd.</t>
  </si>
  <si>
    <t>Neco Insurance Co.</t>
  </si>
  <si>
    <t>Civil Merchant bittya sanstha</t>
  </si>
  <si>
    <t>Fewa Finance Co. Ltd.</t>
  </si>
  <si>
    <t>Goodwill Finance Co. Ltd.</t>
  </si>
  <si>
    <t>Rising Development Bank Ltd.</t>
  </si>
  <si>
    <t>Nepal Consumer Development Bank Ltd.</t>
  </si>
  <si>
    <t>Paschimanchal Bikash Bank</t>
  </si>
  <si>
    <t>Guheyshwori Mer. Bank. Fin</t>
  </si>
  <si>
    <t>Prudential Bittiya Sans</t>
  </si>
  <si>
    <t>Everest Finance Ltd,</t>
  </si>
  <si>
    <t>Nava Durga Finance Co.Ltd.</t>
  </si>
  <si>
    <t>Paschimanchal Finance Co. Ltd</t>
  </si>
  <si>
    <t>Everest Insurance Co. Ltd.</t>
  </si>
  <si>
    <t>United Insurance Co.(Nepal)Ltd.</t>
  </si>
  <si>
    <t>Himalayan Distillery Ltd.</t>
  </si>
  <si>
    <t>Commerz and Trust Bank Nepal Ltd.</t>
  </si>
  <si>
    <t>NIC Asia Bank Ltd</t>
  </si>
  <si>
    <t>Swarojgar Laghu Bitta Bikas Bank Ltd.</t>
  </si>
  <si>
    <t>Sectorwise Market Capitalization</t>
  </si>
  <si>
    <t>NIC Asia Bank Ltd.</t>
  </si>
  <si>
    <t>Hama Merchant &amp; Finance Ltd.</t>
  </si>
  <si>
    <t>Excel Development Bank Ltd.</t>
  </si>
  <si>
    <t>Gandaki Bikas Bank Limited</t>
  </si>
  <si>
    <t>NDEP Development Bank Limited</t>
  </si>
  <si>
    <t>Listing on  Jul/Aug 2013</t>
  </si>
  <si>
    <t>NLG Insurance Company Ltd.</t>
  </si>
  <si>
    <t>Nepal Express Finance Limited</t>
  </si>
  <si>
    <t>Infrastructure Development Bank Limited</t>
  </si>
  <si>
    <t>Kabeli Bikas Bank Limited</t>
  </si>
  <si>
    <t>Citizens Bank International Limited Promoter Share</t>
  </si>
  <si>
    <t>NEPAL CREDIT &amp; COM. BANK LTD.</t>
  </si>
  <si>
    <t>2070-4-15</t>
  </si>
  <si>
    <t>RIGHTS</t>
  </si>
  <si>
    <t>NEPAL INSURANCE CO LTD.</t>
  </si>
  <si>
    <t>SHIKHAR INSURANCE CO. LTD.</t>
  </si>
  <si>
    <t>NEPAL LIFE INSURANCE CO. LTD.</t>
  </si>
  <si>
    <t>PRUDENTIAL INSURANCE CO LTD.</t>
  </si>
  <si>
    <t>SWABALAMBAN LAGHUBITTA BIKAS BANK</t>
  </si>
  <si>
    <t>LUMBINI GENERAL INSURANCE CO LTD.</t>
  </si>
  <si>
    <t>2070-4-30</t>
  </si>
  <si>
    <t>OM FINANCE LTD.</t>
  </si>
  <si>
    <t>GURAS LIFE INSURANCE CO LTD.</t>
  </si>
  <si>
    <t>SAHAYOGI BIKAS BANK LD.</t>
  </si>
  <si>
    <t>GLOBAL IME BANK LTD.</t>
  </si>
  <si>
    <t>MERGE</t>
  </si>
  <si>
    <t>2070-4-21</t>
  </si>
  <si>
    <t>NIRDHAN UTTHAN BANK LTD.</t>
  </si>
  <si>
    <t>HIMALAYAN BANK LTD.</t>
  </si>
  <si>
    <t>PASCHIMANCHAL FINANCE LTD.</t>
  </si>
  <si>
    <t>Amount Rs. in million</t>
  </si>
  <si>
    <t>Odd-Lot + Mannual Trade</t>
  </si>
  <si>
    <t>2068/69</t>
  </si>
  <si>
    <t>2069/70</t>
  </si>
  <si>
    <t xml:space="preserve">Hydro Power </t>
  </si>
  <si>
    <t>Preffered Stock</t>
  </si>
  <si>
    <t>L</t>
  </si>
  <si>
    <t>Market Days</t>
  </si>
  <si>
    <t>Average Daily Turnover</t>
  </si>
  <si>
    <t>Number of Transactions</t>
  </si>
  <si>
    <t>Total Paid Up Value of Listed Shares</t>
  </si>
  <si>
    <t>Total Paid Up Value of Group - A</t>
  </si>
  <si>
    <t>NEPSE Float Index</t>
  </si>
  <si>
    <t>2070/71</t>
  </si>
  <si>
    <t>Shine Resunga Development Bank Ltd.</t>
  </si>
  <si>
    <t>Jhimruk Bikas Bank Ltd.</t>
  </si>
  <si>
    <t>Listing on  Aug-Sept 2013</t>
  </si>
  <si>
    <t>Mega Bank Nepal Ltd.</t>
  </si>
  <si>
    <t>Siddhartha Inv. Growth Scheme-1</t>
  </si>
  <si>
    <t>MEGA BANK NEPAL LTD.</t>
  </si>
  <si>
    <t>ORDINARY</t>
  </si>
  <si>
    <t>2070-5-4</t>
  </si>
  <si>
    <t>SINDHU BIKAS BANK LTD.</t>
  </si>
  <si>
    <t>NECO INSURANCE CO. LTD.</t>
  </si>
  <si>
    <t>2070-5-21</t>
  </si>
  <si>
    <t>SAGARMATHA INSURANCE CO. LTD.</t>
  </si>
  <si>
    <t>GOODWILL FINANCE LTD.</t>
  </si>
  <si>
    <t>SALT TRADING CO. LTD.</t>
  </si>
  <si>
    <t>AGRICULTURE DEV. BANK LTD.</t>
  </si>
  <si>
    <t>ADD. SHARE</t>
  </si>
  <si>
    <t>JANAKI FINANCE LTD.</t>
  </si>
  <si>
    <t>JHIMRUK BIKAS BANK LTD.</t>
  </si>
  <si>
    <t>GAUMUKHI BIKAS BANK LTD.</t>
  </si>
  <si>
    <t>2070-5-26</t>
  </si>
  <si>
    <t>NAMASTE BITTIYA SANTHA LTD.</t>
  </si>
  <si>
    <t>MISSION DEV. BANK LTD.</t>
  </si>
  <si>
    <t>Listing on  Sept-Oct 2013</t>
  </si>
  <si>
    <t>Rural Microfinance Development Centre Ltd.</t>
  </si>
  <si>
    <t>Hamro Bikas Bank Ltd.</t>
  </si>
  <si>
    <t>Synergy Finance Ltd.</t>
  </si>
  <si>
    <t>Pacific Development Bank Limtied</t>
  </si>
  <si>
    <t>Sana Kisan Bikas Bank Ltd</t>
  </si>
  <si>
    <t>Kumari Bank Limited Promotor Share</t>
  </si>
  <si>
    <t>HAMRO BIKAS BANK LTD.</t>
  </si>
  <si>
    <t>2070-6-8</t>
  </si>
  <si>
    <t>RURAL MICRO FINANCE DEV. CENTRE LTD.</t>
  </si>
  <si>
    <t>JEBIL'S FINANCE LTD.</t>
  </si>
  <si>
    <t>SANA KISAN BIKAS BANK LTD.</t>
  </si>
  <si>
    <t>ALIANCE INSURANE CO LTD.</t>
  </si>
  <si>
    <t>2070-6-6</t>
  </si>
  <si>
    <t>NEPAL BANK LTD.</t>
  </si>
  <si>
    <t>2070-6-15</t>
  </si>
  <si>
    <t>Rural Microfinance Dev Centre Ltd.</t>
  </si>
  <si>
    <t>Oct-Nov 2013</t>
  </si>
  <si>
    <t>Nepse</t>
  </si>
  <si>
    <t>Listed</t>
  </si>
  <si>
    <t>Paid</t>
  </si>
  <si>
    <t>Total Paid</t>
  </si>
  <si>
    <t>Yesterday's</t>
  </si>
  <si>
    <t xml:space="preserve">      Market</t>
  </si>
  <si>
    <t>Code</t>
  </si>
  <si>
    <t>Shares</t>
  </si>
  <si>
    <t>UP</t>
  </si>
  <si>
    <t>Up Value</t>
  </si>
  <si>
    <t>No.</t>
  </si>
  <si>
    <t>Value</t>
  </si>
  <si>
    <t>NABIL</t>
  </si>
  <si>
    <t>NIB</t>
  </si>
  <si>
    <t>SCB</t>
  </si>
  <si>
    <t>HBL</t>
  </si>
  <si>
    <t>SBI</t>
  </si>
  <si>
    <t>NBB</t>
  </si>
  <si>
    <t>EBL</t>
  </si>
  <si>
    <t>BOK</t>
  </si>
  <si>
    <t>NICA</t>
  </si>
  <si>
    <t>MBL</t>
  </si>
  <si>
    <t>LBL</t>
  </si>
  <si>
    <t>KBL</t>
  </si>
  <si>
    <t>LUBL</t>
  </si>
  <si>
    <t>Nepal Credit &amp; Com. Bank</t>
  </si>
  <si>
    <t>NCCB</t>
  </si>
  <si>
    <t>SBL</t>
  </si>
  <si>
    <t>NMB</t>
  </si>
  <si>
    <t>Grand Bank Ltd.</t>
  </si>
  <si>
    <t>GRAND</t>
  </si>
  <si>
    <t>GBIME</t>
  </si>
  <si>
    <t>KIST Bank Limited</t>
  </si>
  <si>
    <t>KIST</t>
  </si>
  <si>
    <t>Citizens Bank International Ltd.</t>
  </si>
  <si>
    <t>CZBIL</t>
  </si>
  <si>
    <t>PCBL</t>
  </si>
  <si>
    <t>SRBL</t>
  </si>
  <si>
    <t>Agricultural Development Bank Ltd.</t>
  </si>
  <si>
    <t>ADBL</t>
  </si>
  <si>
    <t>SANIMA</t>
  </si>
  <si>
    <t>Janata Bank Nepal Ltd</t>
  </si>
  <si>
    <t>JBNL</t>
  </si>
  <si>
    <t>Nepal Bank Ltd.</t>
  </si>
  <si>
    <t>NBL</t>
  </si>
  <si>
    <t>CBL</t>
  </si>
  <si>
    <t>CTBNL</t>
  </si>
  <si>
    <t>Mega  Bank Nepal Ltd.</t>
  </si>
  <si>
    <t>MEGA</t>
  </si>
  <si>
    <t>TOTAL</t>
  </si>
  <si>
    <t>Manufacturing and Processing</t>
  </si>
  <si>
    <t>Bottlers Nepal Ltd.(Balaju)</t>
  </si>
  <si>
    <t>BNL</t>
  </si>
  <si>
    <t>Nepal Lube Oil Ltd.</t>
  </si>
  <si>
    <t>NLO</t>
  </si>
  <si>
    <t>Nepal Vanaspati Ghee Udhyog Ltd</t>
  </si>
  <si>
    <t>NVG</t>
  </si>
  <si>
    <t>Raghupati Jute Mills Ltd.</t>
  </si>
  <si>
    <t>RJM</t>
  </si>
  <si>
    <t>Butwal Spinning Mills Ltd.</t>
  </si>
  <si>
    <t>BSM</t>
  </si>
  <si>
    <t>Gorakhakali Rubber Udhyog Ltd.</t>
  </si>
  <si>
    <t>GRU</t>
  </si>
  <si>
    <t>Jyoti Spinning Mills Ltd (ord.)</t>
  </si>
  <si>
    <t>JSM</t>
  </si>
  <si>
    <t>Arun Vanaspati Udhyog Ltd.</t>
  </si>
  <si>
    <t>AVU</t>
  </si>
  <si>
    <t>BNT</t>
  </si>
  <si>
    <t>Harisiddhi Brick and Tile Fac.Ltd.</t>
  </si>
  <si>
    <t>HBT</t>
  </si>
  <si>
    <t>Birat Shoe Ltd.(Ord.)</t>
  </si>
  <si>
    <t>BSL</t>
  </si>
  <si>
    <t>UNL</t>
  </si>
  <si>
    <t>Nepal Khadya Udhyog Ltd.</t>
  </si>
  <si>
    <t>NKU</t>
  </si>
  <si>
    <t>Shree Bhrikuti Pulp&amp; Paper Ltd</t>
  </si>
  <si>
    <t>SBPP</t>
  </si>
  <si>
    <t>Fluer Himalayan Limited</t>
  </si>
  <si>
    <t>FHL</t>
  </si>
  <si>
    <t>Shree Ram Sugar Mills Ltd</t>
  </si>
  <si>
    <t>SRS</t>
  </si>
  <si>
    <t xml:space="preserve">Nepal Bitumin and Barrel Udyog </t>
  </si>
  <si>
    <t>NBBU</t>
  </si>
  <si>
    <t>HDL</t>
  </si>
  <si>
    <t>Hotels</t>
  </si>
  <si>
    <t>Yak and Yeti Hotel Ltd.(Ord.)</t>
  </si>
  <si>
    <t>YHL</t>
  </si>
  <si>
    <t>SHL</t>
  </si>
  <si>
    <t>TRH</t>
  </si>
  <si>
    <t>OHL</t>
  </si>
  <si>
    <t>Others.</t>
  </si>
  <si>
    <t>Nepal Film Dev.Co. Ltd.</t>
  </si>
  <si>
    <t>NFD</t>
  </si>
  <si>
    <t>NTC</t>
  </si>
  <si>
    <t>NHPC</t>
  </si>
  <si>
    <t>BPCL</t>
  </si>
  <si>
    <t>CHCL</t>
  </si>
  <si>
    <t>Arun Valley Hydropower Deve. Co.Ltd</t>
  </si>
  <si>
    <t>AHPC</t>
  </si>
  <si>
    <t>Tradings.</t>
  </si>
  <si>
    <t>Salt Trading Corporation</t>
  </si>
  <si>
    <t>STC</t>
  </si>
  <si>
    <t>BBC</t>
  </si>
  <si>
    <t>Nepal Trading Ltd.</t>
  </si>
  <si>
    <t>NTL</t>
  </si>
  <si>
    <t>Nepal Welfare Company Ltd.</t>
  </si>
  <si>
    <t>NWC</t>
  </si>
  <si>
    <t>NICL</t>
  </si>
  <si>
    <t>Rastriya Beema Sansthan</t>
  </si>
  <si>
    <t>RBS</t>
  </si>
  <si>
    <t>NLICL</t>
  </si>
  <si>
    <t>HGI</t>
  </si>
  <si>
    <t>UIC</t>
  </si>
  <si>
    <t>EIC</t>
  </si>
  <si>
    <t>PIC</t>
  </si>
  <si>
    <t>NIL</t>
  </si>
  <si>
    <t>Alliance Insurance Co. Ltd.</t>
  </si>
  <si>
    <t>AIC</t>
  </si>
  <si>
    <t>SIC</t>
  </si>
  <si>
    <t>NB Insurance Co. Ltd.</t>
  </si>
  <si>
    <t>NBIL</t>
  </si>
  <si>
    <t>NLIC</t>
  </si>
  <si>
    <t>LICN</t>
  </si>
  <si>
    <t>PICL</t>
  </si>
  <si>
    <t>LGIL</t>
  </si>
  <si>
    <t>SICL</t>
  </si>
  <si>
    <t>Siddhartha Insurance Ltd.</t>
  </si>
  <si>
    <t>SIL</t>
  </si>
  <si>
    <t>Asian Life Insurance Co. Ltd.</t>
  </si>
  <si>
    <t>ALICL</t>
  </si>
  <si>
    <t>Prime Life Insurance Co. Ltd.</t>
  </si>
  <si>
    <t>PLIC</t>
  </si>
  <si>
    <t>Surya Life Insurance Co. Ltd.</t>
  </si>
  <si>
    <t>SLICL</t>
  </si>
  <si>
    <t>GLICL</t>
  </si>
  <si>
    <t>NLG</t>
  </si>
  <si>
    <t>Nepal Finance and Saving Co.Ltd.</t>
  </si>
  <si>
    <t>NFS</t>
  </si>
  <si>
    <t>NCM</t>
  </si>
  <si>
    <t>NNFC</t>
  </si>
  <si>
    <t>Nepal Share Markets Ltd.</t>
  </si>
  <si>
    <t>NSM</t>
  </si>
  <si>
    <t>Kathmandu Finance Limited.</t>
  </si>
  <si>
    <t>KFL</t>
  </si>
  <si>
    <t>PFCL</t>
  </si>
  <si>
    <t>Union Finance Co. Ltd.</t>
  </si>
  <si>
    <t>UFCL</t>
  </si>
  <si>
    <t>CIT</t>
  </si>
  <si>
    <t>Nepal Aawas Bikas Beeta Co. Ltd.</t>
  </si>
  <si>
    <t>NABB</t>
  </si>
  <si>
    <t>Yeti Finance Company Ltd.</t>
  </si>
  <si>
    <t>YFL</t>
  </si>
  <si>
    <t>Samjhana Finance Co. Ltd.</t>
  </si>
  <si>
    <t>SFC</t>
  </si>
  <si>
    <t>Nepal Housing &amp; Merchant Fin.</t>
  </si>
  <si>
    <t>NHMF</t>
  </si>
  <si>
    <t>General Finance Ltd.</t>
  </si>
  <si>
    <t>GFL</t>
  </si>
  <si>
    <t>Maha Laxmi Finance Ltd.</t>
  </si>
  <si>
    <t>MFL</t>
  </si>
  <si>
    <t>Lalitpur Finance Ltd.</t>
  </si>
  <si>
    <t>LFC</t>
  </si>
  <si>
    <t>GFCL</t>
  </si>
  <si>
    <t>PFC</t>
  </si>
  <si>
    <t>PFL</t>
  </si>
  <si>
    <t>LFLC</t>
  </si>
  <si>
    <t>Siddhartha Finance Limited</t>
  </si>
  <si>
    <t>SFL</t>
  </si>
  <si>
    <t>UFL</t>
  </si>
  <si>
    <t>International Leasing &amp; Fin. Co.</t>
  </si>
  <si>
    <t>ILFC</t>
  </si>
  <si>
    <t>SIFC</t>
  </si>
  <si>
    <t>Central Finance Co. Ltd.</t>
  </si>
  <si>
    <t>CFCL</t>
  </si>
  <si>
    <t>Premier Finance Co. Ltd</t>
  </si>
  <si>
    <t>PFCLL</t>
  </si>
  <si>
    <t>NDFL</t>
  </si>
  <si>
    <t>Synergy Finance Ltd</t>
  </si>
  <si>
    <t>SYFL</t>
  </si>
  <si>
    <t>JFL</t>
  </si>
  <si>
    <t>OFL</t>
  </si>
  <si>
    <t>FFCL</t>
  </si>
  <si>
    <t>World Merchant Bank Ltd</t>
  </si>
  <si>
    <t>WMBF</t>
  </si>
  <si>
    <t>Capital Mer. Bamk &amp; Fin</t>
  </si>
  <si>
    <t>CMB</t>
  </si>
  <si>
    <t>EFL</t>
  </si>
  <si>
    <t>PFIL</t>
  </si>
  <si>
    <t>Shrijana Finance(Bittiya Sa</t>
  </si>
  <si>
    <t>SFFIL</t>
  </si>
  <si>
    <t>GMFIL</t>
  </si>
  <si>
    <t>Patan Finance Ltd.</t>
  </si>
  <si>
    <t>PFLBS</t>
  </si>
  <si>
    <t>Imperial Financial Inst. Ltd.</t>
  </si>
  <si>
    <t>IFIL</t>
  </si>
  <si>
    <t>CMBSL</t>
  </si>
  <si>
    <t>ICFC</t>
  </si>
  <si>
    <t>Nepal Express Finance Ltd.</t>
  </si>
  <si>
    <t>NEFL</t>
  </si>
  <si>
    <t>Kuber Mer. Bittya Sans. Ltd.</t>
  </si>
  <si>
    <t>KMBSL</t>
  </si>
  <si>
    <t>Prabhu Finance Company Limited</t>
  </si>
  <si>
    <t>PRBBL</t>
  </si>
  <si>
    <t>Sagarmatha Mer. Banking &amp; Fin. Ltd.</t>
  </si>
  <si>
    <t>SMBF</t>
  </si>
  <si>
    <t>KAFIL</t>
  </si>
  <si>
    <t>Progressive Finance Ltd</t>
  </si>
  <si>
    <t>PROFL</t>
  </si>
  <si>
    <t>Reliable Finance. Ltd.</t>
  </si>
  <si>
    <t>RIBSL</t>
  </si>
  <si>
    <t>Api Finance Limited</t>
  </si>
  <si>
    <t>AFL</t>
  </si>
  <si>
    <t>Crystal Finance Ltd.</t>
  </si>
  <si>
    <t>CFL</t>
  </si>
  <si>
    <t>Zenith Finance Ltd.</t>
  </si>
  <si>
    <t>ZFL</t>
  </si>
  <si>
    <t>Subha Laxmi Finance Co. Ltd.</t>
  </si>
  <si>
    <t>SLFL</t>
  </si>
  <si>
    <t>Unique Finance Institution Ltd.</t>
  </si>
  <si>
    <t>UFIL</t>
  </si>
  <si>
    <t>Seti Bittiya Sanstha Ltd.</t>
  </si>
  <si>
    <t>SETI</t>
  </si>
  <si>
    <t>Arun Finance Ltd.</t>
  </si>
  <si>
    <t>ARUN</t>
  </si>
  <si>
    <t>Himalayan Finance Ltd. (Bittiya Sanstha)</t>
  </si>
  <si>
    <t>HFL</t>
  </si>
  <si>
    <t>Valley Finance Limited</t>
  </si>
  <si>
    <t>VFL</t>
  </si>
  <si>
    <t>Hama Merchant &amp; Fin. Ltd.</t>
  </si>
  <si>
    <t>HAMA</t>
  </si>
  <si>
    <t>Reliance Finance Ltd</t>
  </si>
  <si>
    <t>RFL</t>
  </si>
  <si>
    <t>MPFL</t>
  </si>
  <si>
    <t>Manjushree Financial Institution Ltd.</t>
  </si>
  <si>
    <t>MFIL</t>
  </si>
  <si>
    <t>Namaste Bittiya Sanstha Ltd.</t>
  </si>
  <si>
    <t>NBSL</t>
  </si>
  <si>
    <t>Jebil's Finance Ltd.</t>
  </si>
  <si>
    <t>JEFL</t>
  </si>
  <si>
    <t/>
  </si>
  <si>
    <t>Development Bank Ltd.</t>
  </si>
  <si>
    <t>Nepal Industrial Dev. Corp.</t>
  </si>
  <si>
    <t>NIDC</t>
  </si>
  <si>
    <t>Nepal Development Bank</t>
  </si>
  <si>
    <t>NDB</t>
  </si>
  <si>
    <t xml:space="preserve">Nirdhan Utthan Bank Ltd. </t>
  </si>
  <si>
    <t xml:space="preserve">NUBL </t>
  </si>
  <si>
    <t>Chhimek Vikash Bank Ltd.</t>
  </si>
  <si>
    <t>CBBL</t>
  </si>
  <si>
    <t>PDBL</t>
  </si>
  <si>
    <t>DDBL</t>
  </si>
  <si>
    <t>Gandaki Bikas Bank Ltd.</t>
  </si>
  <si>
    <t>GDBL</t>
  </si>
  <si>
    <t>Business Universal Dev. Bank Ltd.</t>
  </si>
  <si>
    <t>BUDBL</t>
  </si>
  <si>
    <t>Siddhartha Vikash Bank Ltd</t>
  </si>
  <si>
    <t>SDBL</t>
  </si>
  <si>
    <t>Bhrikuti Vikash Bank Ltd.</t>
  </si>
  <si>
    <t>BBBL</t>
  </si>
  <si>
    <t>Narayani Dev. Bank</t>
  </si>
  <si>
    <t>NABBC</t>
  </si>
  <si>
    <t>Bageshowori Dev.Bank</t>
  </si>
  <si>
    <t>BBBLN</t>
  </si>
  <si>
    <t>SBBLJ</t>
  </si>
  <si>
    <t>Gurkha Development Bank</t>
  </si>
  <si>
    <t>GDBNL</t>
  </si>
  <si>
    <t>SUPRME</t>
  </si>
  <si>
    <t>SWBBL</t>
  </si>
  <si>
    <t>Ace Development Bank Ltd.</t>
  </si>
  <si>
    <t>ACEDBL</t>
  </si>
  <si>
    <t>H &amp; B Dev Bank Ltd.</t>
  </si>
  <si>
    <t>HBDL</t>
  </si>
  <si>
    <t>Excel Development Bank</t>
  </si>
  <si>
    <t>EDBL</t>
  </si>
  <si>
    <t>Malika Developmetn Bank</t>
  </si>
  <si>
    <t>MDBL</t>
  </si>
  <si>
    <t>BiratLaxmi Developmetn Bank</t>
  </si>
  <si>
    <t>BLDBL</t>
  </si>
  <si>
    <t>Infrastructure Developmetn Bank</t>
  </si>
  <si>
    <t>IDBL</t>
  </si>
  <si>
    <t>NDEP Development Bank Ltd.</t>
  </si>
  <si>
    <t>NDEP</t>
  </si>
  <si>
    <t>Subbecha Bikas Bank Ltd.</t>
  </si>
  <si>
    <t>SUBBL</t>
  </si>
  <si>
    <t>Triveni Bikash Bank Limited</t>
  </si>
  <si>
    <t>TBBL</t>
  </si>
  <si>
    <t>Clean Energy Dev. Bank Limited</t>
  </si>
  <si>
    <t>CEDBL</t>
  </si>
  <si>
    <t>Purbanchal Gramhin Bikas Bank Ltd.</t>
  </si>
  <si>
    <t>PGBL</t>
  </si>
  <si>
    <t>AXIS Development Bank Ltd.</t>
  </si>
  <si>
    <t>AXIS</t>
  </si>
  <si>
    <t>Vibor Bikash Bank Limited</t>
  </si>
  <si>
    <t>VBBL</t>
  </si>
  <si>
    <t>Madhyamanchal Gramin Bikas Bank</t>
  </si>
  <si>
    <t>MGBL</t>
  </si>
  <si>
    <t>Public Development Bank Ltd.</t>
  </si>
  <si>
    <t>PDB</t>
  </si>
  <si>
    <t>MBBL</t>
  </si>
  <si>
    <t>Miteri Development Bank Ltd.</t>
  </si>
  <si>
    <t>MDB</t>
  </si>
  <si>
    <t>Pathibhara Bikas Bank Ltd.</t>
  </si>
  <si>
    <t>PBSL</t>
  </si>
  <si>
    <t>KDBL</t>
  </si>
  <si>
    <t>Sewa Bikas Bank Ltd.</t>
  </si>
  <si>
    <t>SEWA</t>
  </si>
  <si>
    <t>Nilgiri Bikas Bank Ltd.</t>
  </si>
  <si>
    <t>NGBL</t>
  </si>
  <si>
    <t>Nerude Laghubittiya Bikas Bank Ltd.</t>
  </si>
  <si>
    <t>NLBBL</t>
  </si>
  <si>
    <t>City Development Bank Ltd.</t>
  </si>
  <si>
    <t>CDBL</t>
  </si>
  <si>
    <t>Manakamana Development Bank Ltd.</t>
  </si>
  <si>
    <t>MKDBL</t>
  </si>
  <si>
    <t>ALDBL</t>
  </si>
  <si>
    <t>GSDBL</t>
  </si>
  <si>
    <t>Diyalo Bikas Bank Ltd</t>
  </si>
  <si>
    <t>DBBL</t>
  </si>
  <si>
    <t>Garima Bikas Bank Ltd.</t>
  </si>
  <si>
    <t>GBBL</t>
  </si>
  <si>
    <t>Jyoti Bikas Bank Ltd.</t>
  </si>
  <si>
    <t>JBBL</t>
  </si>
  <si>
    <t>KNBL</t>
  </si>
  <si>
    <t>Bishwa Bikas Bank Ltd.</t>
  </si>
  <si>
    <t>BSBL</t>
  </si>
  <si>
    <t>Kabeli Bikas Bank Ltd.</t>
  </si>
  <si>
    <t>KEBL</t>
  </si>
  <si>
    <t>Karnali Development Bank Ltd.</t>
  </si>
  <si>
    <t>KRBL</t>
  </si>
  <si>
    <t>Tinau Development Bank Ltd.</t>
  </si>
  <si>
    <t>TNBL</t>
  </si>
  <si>
    <t>Araniko Development Bank Ltd.</t>
  </si>
  <si>
    <t>ARDBL</t>
  </si>
  <si>
    <t>Western Development Bank Ltd.</t>
  </si>
  <si>
    <t>WDBL</t>
  </si>
  <si>
    <t>Professional Bikas Bank Ltd.</t>
  </si>
  <si>
    <t>PRBL</t>
  </si>
  <si>
    <t>CNDBL</t>
  </si>
  <si>
    <t>Corporate Development Bank Ltd.</t>
  </si>
  <si>
    <t>CORBL</t>
  </si>
  <si>
    <t>Purnima Bikas Bank Ltd.</t>
  </si>
  <si>
    <t>PURBL</t>
  </si>
  <si>
    <t>Kamana Bikas Bank Ltd.</t>
  </si>
  <si>
    <t>KMBL</t>
  </si>
  <si>
    <t>Rara Bikas Bank Ltd.</t>
  </si>
  <si>
    <t>RARA</t>
  </si>
  <si>
    <t>Shangrila Development Bank Ltd.</t>
  </si>
  <si>
    <t>SADBL</t>
  </si>
  <si>
    <t>SHINE</t>
  </si>
  <si>
    <t>MNBBL</t>
  </si>
  <si>
    <t>KBBL</t>
  </si>
  <si>
    <t>Bagmati Development Bank Ltd.</t>
  </si>
  <si>
    <t>BGDBL</t>
  </si>
  <si>
    <t>First Micro Finance Development Bank Ltd.</t>
  </si>
  <si>
    <t>FMDBL</t>
  </si>
  <si>
    <t>Summit  Micro Finance Development Bank Ltd.</t>
  </si>
  <si>
    <t>SMFDB</t>
  </si>
  <si>
    <t>TDBL</t>
  </si>
  <si>
    <t>Kanchan Develoment Bank Ltd.</t>
  </si>
  <si>
    <t>KADBL</t>
  </si>
  <si>
    <t>NCDBL</t>
  </si>
  <si>
    <t>Pacific Development Bank Ltd.</t>
  </si>
  <si>
    <t>PADBL</t>
  </si>
  <si>
    <t>Metro Development Bank Ltd.</t>
  </si>
  <si>
    <t>METRO</t>
  </si>
  <si>
    <t>RDBL</t>
  </si>
  <si>
    <t>Bhargav Bikas Bank Ltd.</t>
  </si>
  <si>
    <t>BHBL</t>
  </si>
  <si>
    <t>Innovative Development Bank Ltd.</t>
  </si>
  <si>
    <t>INDB</t>
  </si>
  <si>
    <t>Kakre Bihar Bikash Bank Ltd</t>
  </si>
  <si>
    <t>KKBL</t>
  </si>
  <si>
    <t>Civic Development Bank Ltd</t>
  </si>
  <si>
    <t>CIVIC</t>
  </si>
  <si>
    <t>Bright Development Bank Ltd</t>
  </si>
  <si>
    <t>BRTBL</t>
  </si>
  <si>
    <t>International Development Bank Ltd</t>
  </si>
  <si>
    <t>INDBL</t>
  </si>
  <si>
    <t>Khandbari Development Bank Ltd</t>
  </si>
  <si>
    <t>KHDBL</t>
  </si>
  <si>
    <t>SLBBL</t>
  </si>
  <si>
    <t>Sindhu Bikash Bank Ltd</t>
  </si>
  <si>
    <t>SINDU</t>
  </si>
  <si>
    <t>JHBL</t>
  </si>
  <si>
    <t>Gaumukhee Bikas Bank Ltd.</t>
  </si>
  <si>
    <t>GABL</t>
  </si>
  <si>
    <t>Mission Development Bank Ltd</t>
  </si>
  <si>
    <t>MIDBL</t>
  </si>
  <si>
    <t>Sana Kisan Bikas Bank Ltd.</t>
  </si>
  <si>
    <t>SKBBL</t>
  </si>
  <si>
    <t>RMDC</t>
  </si>
  <si>
    <t>HAMRO</t>
  </si>
  <si>
    <t>Pashchimanchal Grameen Bikas Bank Ltd.</t>
  </si>
  <si>
    <t>PGBBL</t>
  </si>
  <si>
    <t>GRAND TOTAL</t>
  </si>
  <si>
    <t>Today's Index</t>
  </si>
  <si>
    <t>Adjusted Index 132</t>
  </si>
  <si>
    <t>Adjusted Index 133</t>
  </si>
  <si>
    <t>Adjusted Index 134</t>
  </si>
  <si>
    <t>Adjusted Index 135</t>
  </si>
  <si>
    <t>Adjusted Index 136</t>
  </si>
  <si>
    <t>Adjusted Index 137</t>
  </si>
  <si>
    <t>Adjusted Index 138</t>
  </si>
  <si>
    <t>Adjusted Index 139</t>
  </si>
  <si>
    <t>Adjusted Index 140</t>
  </si>
  <si>
    <t>Adjusted Index 141</t>
  </si>
  <si>
    <t>Adjusted Index 142</t>
  </si>
  <si>
    <t>Adjusted Index 143</t>
  </si>
  <si>
    <t>Adjusted Index 144</t>
  </si>
  <si>
    <t>Adjusted Index 145</t>
  </si>
  <si>
    <t>Adjusted Index 146</t>
  </si>
  <si>
    <t>Adjusted Index 147</t>
  </si>
  <si>
    <t>Adjusted Index 148</t>
  </si>
  <si>
    <t>Adjusted Index 149</t>
  </si>
  <si>
    <t>Adjusted Index 150</t>
  </si>
  <si>
    <t>Adjusted Index 151</t>
  </si>
  <si>
    <t>Adjusted Index 152</t>
  </si>
  <si>
    <t>Adjusted Index 153</t>
  </si>
  <si>
    <t>Adjusted Index 154</t>
  </si>
  <si>
    <t>Adjusted Index 155</t>
  </si>
  <si>
    <t>Adjusted Index 156</t>
  </si>
  <si>
    <t>Adjusted Index 157</t>
  </si>
  <si>
    <t>Adjusted Index 158</t>
  </si>
  <si>
    <t>Adjusted Index 159</t>
  </si>
  <si>
    <t>Adjusted Index 160</t>
  </si>
  <si>
    <t>Adjusted Index 161</t>
  </si>
  <si>
    <t>Adjusted Index 162</t>
  </si>
  <si>
    <t>Adjusted Index 177</t>
  </si>
  <si>
    <t>Adjusted Index 178</t>
  </si>
  <si>
    <t>Adjusted Index 179</t>
  </si>
  <si>
    <t>Adjusted Index 180</t>
  </si>
  <si>
    <t>Adjusted Index 181</t>
  </si>
  <si>
    <t>Adjusted Index 182</t>
  </si>
  <si>
    <t>Adjusted Index 183</t>
  </si>
  <si>
    <t>Adjusted Index 184</t>
  </si>
  <si>
    <t>Adjusted Index 185</t>
  </si>
  <si>
    <t>Adjusted Index 186</t>
  </si>
  <si>
    <t>Adjusted Index 187</t>
  </si>
  <si>
    <t>Adjusted Index 188</t>
  </si>
  <si>
    <t>Adjusted Index 189</t>
  </si>
  <si>
    <t>Adjusted Index 190</t>
  </si>
  <si>
    <t>Adjusted Index 191</t>
  </si>
  <si>
    <t>Adjusted Index 192</t>
  </si>
  <si>
    <t>Adjusted Index 193</t>
  </si>
  <si>
    <t>Adjusted Index 194</t>
  </si>
  <si>
    <t>Adjusted Index 195</t>
  </si>
  <si>
    <t>Adjusted Index 202</t>
  </si>
  <si>
    <t>Adjusted Index 203</t>
  </si>
  <si>
    <t>Adjusted Index 204</t>
  </si>
  <si>
    <t>Adjusted Index 205</t>
  </si>
  <si>
    <t>Adjusted Index 206</t>
  </si>
  <si>
    <t>Adjusted Index 207</t>
  </si>
  <si>
    <t>Adjusted Index 208</t>
  </si>
  <si>
    <t>Adjusted Index 209</t>
  </si>
  <si>
    <t>Adjusted Index 210</t>
  </si>
  <si>
    <t>Adjusted Index 211</t>
  </si>
  <si>
    <t>Adjusted Index 212</t>
  </si>
  <si>
    <t>Adjusted Index 213</t>
  </si>
  <si>
    <t>Adjusted Index 214</t>
  </si>
  <si>
    <t>Adjusted Index 215</t>
  </si>
  <si>
    <t>Adjusted Index 216</t>
  </si>
  <si>
    <t>Adjusted Index 217</t>
  </si>
  <si>
    <t>Adjusted Index 218</t>
  </si>
  <si>
    <t>Adjusted Index 219</t>
  </si>
  <si>
    <t>Adjusted Index 221</t>
  </si>
  <si>
    <t>Adjusted Index 222</t>
  </si>
  <si>
    <t>Adjusted Index 223</t>
  </si>
  <si>
    <t>Adjusted Index 224</t>
  </si>
  <si>
    <t>Adjusted Index 225</t>
  </si>
  <si>
    <t>Adjusted Index 226</t>
  </si>
  <si>
    <t>Adjusted Index 227</t>
  </si>
  <si>
    <t>Adjusted Index 228</t>
  </si>
  <si>
    <t>Adjusted Index 229</t>
  </si>
  <si>
    <t>Adjusted Index 230</t>
  </si>
  <si>
    <t>Adjusted Index 231</t>
  </si>
  <si>
    <t>Adjusted Index 232</t>
  </si>
  <si>
    <t>Adjusted Index 233</t>
  </si>
  <si>
    <t>Adjusted Index 234</t>
  </si>
  <si>
    <t>Adjusted Index 235</t>
  </si>
  <si>
    <t>Adjusted Index 236</t>
  </si>
  <si>
    <t>Adjusted Index 237</t>
  </si>
  <si>
    <t>Adjusted Index 238</t>
  </si>
  <si>
    <t>Adjusted Index 239</t>
  </si>
  <si>
    <t>Adjusted Index 240</t>
  </si>
  <si>
    <t>Adjusted Index 241</t>
  </si>
  <si>
    <t>Adjusted Index 242</t>
  </si>
  <si>
    <t>Adjusted Index 243</t>
  </si>
  <si>
    <t>Adjusted Index 245</t>
  </si>
  <si>
    <t>Adjusted Index 246</t>
  </si>
  <si>
    <t>Adjusted Index 247</t>
  </si>
  <si>
    <t>Adjusted Index 248</t>
  </si>
  <si>
    <t>Adjusted Index 249</t>
  </si>
  <si>
    <t>Adjusted Index 250</t>
  </si>
  <si>
    <t>Adjusted Index 251</t>
  </si>
  <si>
    <t>Adjusted Index 256</t>
  </si>
  <si>
    <t>Banking Index</t>
  </si>
  <si>
    <t>Adjusted Index 255</t>
  </si>
  <si>
    <t>Adjusted Index 252</t>
  </si>
  <si>
    <t xml:space="preserve">ani </t>
  </si>
  <si>
    <t>Hydro Electricity group has been created from 3rd July 2007.</t>
  </si>
  <si>
    <t>Note:</t>
  </si>
  <si>
    <t>The 5500000 units shares worth Rs.550 million enlisted  with this stock exchange is adjusted to calculate dindexo 132 on 27th Shrawan 061.</t>
  </si>
  <si>
    <t>Fewa Finance has listed 200000 shares worth Rs.20 million on 7th oct.2004 I.e. 21Ashwin 061.</t>
  </si>
  <si>
    <t>Narayani Finance Limited has Listed bonus shares 47194 on 2061-6-21 and the difference between outstanding and listed equity no.126083 has been adjusted.</t>
  </si>
  <si>
    <t>The difference between outstanding equity before listing and after listing no.112500 was adjusted on 2061-6.-22to calculate dindexo135.</t>
  </si>
  <si>
    <t>600000 units of shares worth Rs.60 million of HISEF Finance was delisted and the same no. of shares in Laxmi Bank was enlisted due to merge and takeover at 23 Nov2004</t>
  </si>
  <si>
    <t>5000000 units of shares of Lumbini Bank Ltd was enlisted and adjusted to calculate dindexo 138 at 23 Nov.2004.</t>
  </si>
  <si>
    <t>1000000 units of shares worth Rs.100 million is enlisted and adjusted to calculate dindexo139 at 25Nov.2004.</t>
  </si>
  <si>
    <t>138525 units of bonus shares issued by Rastriya Beema Sansthan was adjusted to calculate dindexo 140 at 13th Dec.2004.</t>
  </si>
  <si>
    <t>500000 units of ordinary shares of Kist merchant bank has been listed on 2061/9/ 21and adjusted on 17 jan05 to calculate dindexo 140.</t>
  </si>
  <si>
    <t>100000 units of ordinary shares of chhimek bikash bank was listed and adjusted to calculate dindexo141 17 jan 05.</t>
  </si>
  <si>
    <t>8390577 units of shares have been listed by Butwal Power Co. and it has been adjusted to calculate dindexo142 at 7 magh 061.</t>
  </si>
  <si>
    <t>200000 units of shares of Paschimanchal Bikash Bank Ltd. Has been adjusted to calculate dindexo143 at 13 Magh 061.</t>
  </si>
  <si>
    <t>300000 units of bonus shares of everest insurance has been listed and adjusted to calculate dindexo on 11 feb,2005.</t>
  </si>
  <si>
    <t xml:space="preserve">7000000 units of shares of NCC bank is adjusted to calculate dindexo 145 at 17feb05. </t>
  </si>
  <si>
    <t>National Finance has announced 20% bonus shares and has already been adjusted 60000 and remaining 12000 is adjusted</t>
  </si>
  <si>
    <t>to calculate dindexo146 at 22 feb2005.</t>
  </si>
  <si>
    <t>600000 units of shares worth Rs.60 million of World Merchant Bank is adjusted to calculate dindexo147 at 28Feb05.</t>
  </si>
  <si>
    <t>40000 units of bonus shares of Paschimanchal Finance, 3599260 units of rights sharesof Nepal Bangladesh Bank, and 56198 units of bonus shares</t>
  </si>
  <si>
    <t>of Narayani Finance are adjusted on 25th chaitra061 to calculate dindexo148,149,and 150 respectively.</t>
  </si>
  <si>
    <t>600000 units of shares of Birgunj Finance Ltd. Is adjusted to calculate dindexo 151. At 24 April 05</t>
  </si>
  <si>
    <t xml:space="preserve">The right issue of Peoples Finance Ltd. Has already been adjusted. Presently 26255 excess shares were adjusted previously. </t>
  </si>
  <si>
    <t>Therefore that 26255 shares were decrease and adjusted to calculate dindexo 152 at 26 April 2005.</t>
  </si>
  <si>
    <t>100000 units of bonus and 200000 units of rights are listed to calculate dindexo 153 issued by Annapurna Financeat 10th may,2005.</t>
  </si>
  <si>
    <t>200480 units of rights shares are listed and adjusted to calculate dindexo154 of Nep. Bangladesh Fin. &amp; Leas. At 10may,2005.</t>
  </si>
  <si>
    <t>The listed 40000bonus shares of Central Finance has been adjusted to calculate dindexo155 on 2june05.</t>
  </si>
  <si>
    <t>116000 units of shares worth Rs.11.6 million was enlisted and adjusted to calculate dindexo 156 at 14 june05.</t>
  </si>
  <si>
    <t>The bonus shares of Nepal housing and merchant finance (45000 worth Rs.4.5 million) is adjusted to calculate dindexo157 at 18 july 2005.</t>
  </si>
  <si>
    <t>The bonus shares of Himalayan Bank Ltd. Of Rs.107250000 units 1072500 is adjusted to calculate dindexo158 at 13 sept,2005.</t>
  </si>
  <si>
    <t>The right issue of Nepal Investment bank 2952930 units worth Rs.295293000 is adjusted to calculate dindexo 159 at 13seot,2005.</t>
  </si>
  <si>
    <t>The right issue of Nepal SBI bank 2159328 units worth Rs.215932800 is adjusted to calculate dindexo 160 at 13seot,2005.</t>
  </si>
  <si>
    <t>The bonus share 65188 of Union Finance andRight shares 150000 of Nirdhan Uthan Bank are adjusted to calculate dindexo 161 and 162</t>
  </si>
  <si>
    <t>at 29 September 2005.</t>
  </si>
  <si>
    <t>432000 units of right shares of National Finance is adjusted to calculate dindexo163 at 5th october2005.</t>
  </si>
  <si>
    <t>700000euuity of Capital Merchant bank, 200000 equity of Everest finance and 30000 bonus shares of Kathmandu finance</t>
  </si>
  <si>
    <t>are adjusted to calculate dindexo 164, 165 and 166 on poush 6, 2062</t>
  </si>
  <si>
    <t>236997 bonus shares of Nepal insurance co. is adjusted to calculate dindexo 167 at 22 Jan. 2006.</t>
  </si>
  <si>
    <t>50000 bonus shares of Neco insurance is adjusted to calculate dindexo 168 at 22 Jan, 2006</t>
  </si>
  <si>
    <t>2406630 shares of National Hydro is adjusted to calculate dindexo 169 at 22 Jan, 2006.</t>
  </si>
  <si>
    <t>80000 bonus shares of Investment &amp; finance is adjusted to calculate dindexo 170 22 Jan. 2006.</t>
  </si>
  <si>
    <t>200000 bonus shares of pokhara finance is adjusted to calculate dindexo 171 at 22 Jan. 2006.</t>
  </si>
  <si>
    <t>630000 bonus shares of Everest Bank is adjusted to calculate dindexo 172 at 22 Jan. 2006.</t>
  </si>
  <si>
    <t>800000 right issue of Development credit bank is adjusted to calculate dindexo 173 at jan.22,2006.</t>
  </si>
  <si>
    <t>1000000 units of bonus shares have been adjusted to calculate dindexo 174 at 5th march 06.</t>
  </si>
  <si>
    <t>500000 units of shares listed shares of prudential finance are adjusted to calculate dindexo at 5th march 06.</t>
  </si>
  <si>
    <t>5000000 units of listed shares of prudential  finance is adjusted to calculate dindexo at 5th march 06.</t>
  </si>
  <si>
    <t>80242 units of bonus shares worth Rs.8024200 of Awasha bitta co, at8may,2006 to calculate dindexo 177.</t>
  </si>
  <si>
    <t>86400 units of bonus shares worth Rs8640000to calculate dindexo178 at 8th may 2006.</t>
  </si>
  <si>
    <t>120000 units of bonus shares of Siddartha finance is adjusted to calculate dindexo. At 9th may 06.</t>
  </si>
  <si>
    <t>300000 units of bonus shares of Annapurna finance is adjusted to calculate dindexo at 9th may 06.</t>
  </si>
  <si>
    <t>1287000 units of bonus share iof Himalayan bank is adjusted to calculate dindexo at 9th may 06.</t>
  </si>
  <si>
    <t>49500 units of bonus shares of Nepal Housing and merchant finance is adjusted at 9 th may 06.</t>
  </si>
  <si>
    <t>66815 units of bonus shares of Narayani finance is adjusted at 9th may 06.</t>
  </si>
  <si>
    <t>1250000 units of right shares of Kumari bank is adjusted at 9th may 06.</t>
  </si>
  <si>
    <t>24317 units of bonus shares of Nirdhan Utthan Bank is adjusted at 9th may 06.</t>
  </si>
  <si>
    <t>20000Units of shares of General finance is adjusted to calculate dindexo at 10th may06.</t>
  </si>
  <si>
    <t>300000 units of right shares of Fewa finance is adjusted to calculate dindexo at 10th may 06.</t>
  </si>
  <si>
    <t>66000 units of bonus shares of paschimanchal finance is adjusted to calculate dindexo at 10th may 06.</t>
  </si>
  <si>
    <t>100000 units of shares worth RS10million of srijana finance is adjusted to calculate dindexo189.</t>
  </si>
  <si>
    <t>7296000units of shares of Chilime hydro power co.is adjusted to calculate dindexo 190 at 13th june 06.</t>
  </si>
  <si>
    <t>300000 units of rights shares of Om finance is adjusted to calculate dindexo 19o at 13th june06</t>
  </si>
  <si>
    <t>306250 units of bonus shares are adjusted to calculate dindexo 192 at 13th june06.</t>
  </si>
  <si>
    <t>40000 units of bonus shares of premiur finance is adjusted to calculate dindexo at 13th june 06.</t>
  </si>
  <si>
    <t>1000000 units ofshares of Lumbini Gen. Ins,500000 units of GDFCo, and500000 units of sharesof Royal Merchant bank are adjusted</t>
  </si>
  <si>
    <t>to c alculate dindexo 194,195 and 196 at 5th july2006</t>
  </si>
  <si>
    <t xml:space="preserve">500000 units of shares of Guheshowori Merchant Banking Fin. Enlisted its shares and adjusted to calculate dindexo197 </t>
  </si>
  <si>
    <t>at 23July06.</t>
  </si>
  <si>
    <t>120000 units of rights shares is adjusted to calculate dindexo198 at 2august 06.</t>
  </si>
  <si>
    <t>100000 units of Rights shares of Janaki Financee is adjusted to calculate dindexo 199 at 13August 06.</t>
  </si>
  <si>
    <t>1650000 units of Right shares of Machhapuchhre Bank is adjusted to calculate dindexo 200 at 11 Sept06.</t>
  </si>
  <si>
    <t>The initial listing of goodwill finance was 250000 units and present right is 250000 units totalling 500000 units</t>
  </si>
  <si>
    <t>but 337500 was in outstanding equity therefore only 162500 share is adjusted to calculate dindexo 201 at 11 sept06.</t>
  </si>
  <si>
    <t>The rights shares of 500000 units ofKIST Merchant is adjusted to calculate dindexo 202 at 11Sept.06.</t>
  </si>
  <si>
    <t>300000 units of shares of Business Dev. Financial Institutions are adjusted to calculate dindexo 203 at 28 Sept.06.</t>
  </si>
  <si>
    <t>400000 units of rights shares of Nepal Share Market is adjusted to calculate dindexo 204 at 11 Oct.206</t>
  </si>
  <si>
    <t>500000 units of shares of Siddhartha Bank Ltd is adjusted to calculate dindexo 205 at 1 Nov.06.</t>
  </si>
  <si>
    <t>500000 units of shares of IME Fin. Inst. Is adjusted to calculate dindexo 206 at 1Nov.06</t>
  </si>
  <si>
    <t>350000 units of shares of Bhaju ratna Finance is adjusted to calculate dindexo 207 at 1 Nov. 06.</t>
  </si>
  <si>
    <t>214000 units of shares of Bhrikuti Vikash Bank is adjusted to calculate dindexo 208 at 20 Dec.2006</t>
  </si>
  <si>
    <t>3200000 units of shares of Sanima vikash bank is adjusted to calculate dindexo 209 at 24dec.06.</t>
  </si>
  <si>
    <t>100000 units of shares worth Rs.10 million of Mahalaxmi finance ltd is adjusted to calculate dindexo 210 at 24jan.07.</t>
  </si>
  <si>
    <t>360000 units of bonus shares worth Rs.36 million of Ace Finance is adjusted to calculate dindexo 211 at 24 jan07.</t>
  </si>
  <si>
    <t>50000 units of bonus share of Yeti finance is adjusted to calculated dindexo 212 at 24Jan.07.</t>
  </si>
  <si>
    <t>79364 units of bonus share of Narayani Finance is adjusted to calculate dindexo 213 at 24 jan 07.</t>
  </si>
  <si>
    <t>2107666 units of bonus share of Nepal Investment bank is adjusted to calculate dindexo 214 at 24 jan 07.</t>
  </si>
  <si>
    <t>20000 units of bonus share of Nawa durga finance ia adjusted to calculate dindexo 215 at 24 Jan 07.</t>
  </si>
  <si>
    <t>100000 units of bonus shares of Janaki Finance Ltd. Is adjusted to calculate dindexo 216 at 24 Jan 07.</t>
  </si>
  <si>
    <t>80000 units of bonus share of Shree Investment &amp; Finance is adjusted to calculate dindexo 217 at 24 Jan 07.</t>
  </si>
  <si>
    <t>300000 units of bonus shares of Everest Insurance Co. is adjusted to calculate dincexo 218 at 24 Jan 07.</t>
  </si>
  <si>
    <t>200000 units of shares of Narayani Industrial Dev Bank is adjusted to calculate dindexo 220 at 14 Feb 07</t>
  </si>
  <si>
    <t>The following 12 delisted companies are adjusted to calculate dindexo.</t>
  </si>
  <si>
    <t>1. Nepal Battery Co. Ltd.            125425</t>
  </si>
  <si>
    <t>2. The Juddha Match Fact    80000</t>
  </si>
  <si>
    <t>3. Nepal Plywood &amp; Bobin     110589</t>
  </si>
  <si>
    <t>4. Himal Cement                453115</t>
  </si>
  <si>
    <t>5. Sayapatri color lab         34910</t>
  </si>
  <si>
    <t>6. Nepal Med Ltd.         110849</t>
  </si>
  <si>
    <t>7. Ace Lab. Nepal       272448</t>
  </si>
  <si>
    <t>8. Bansbari Leatherage  500000</t>
  </si>
  <si>
    <t>9. Necon Air 1792000</t>
  </si>
  <si>
    <t>10. Nepal United Co.   52901</t>
  </si>
  <si>
    <t>11. Plastic Trading Co.  20000</t>
  </si>
  <si>
    <t>12. Nepal Byapar Bikash co.94929</t>
  </si>
  <si>
    <t>The bonus shares of the following companies are adjusted to calculate dindexo on 25 march,07</t>
  </si>
  <si>
    <t>Standard Chartered Bank</t>
  </si>
  <si>
    <t>NIDC Capital Market</t>
  </si>
  <si>
    <t>Nepal Awasha tatha bikash bitta co. Ltd.</t>
  </si>
  <si>
    <t>Standard Finance Ltd.</t>
  </si>
  <si>
    <t>The following shares of the following companies are adjusted at 9 April 07.</t>
  </si>
  <si>
    <t>Gorkha Finance</t>
  </si>
  <si>
    <t>Bonus</t>
  </si>
  <si>
    <t>standard finance</t>
  </si>
  <si>
    <t>Royal Merchant Bank. &amp; Finance</t>
  </si>
  <si>
    <t>Birgunj Finance</t>
  </si>
  <si>
    <t>Alpic Everest Finance</t>
  </si>
  <si>
    <t>Rights</t>
  </si>
  <si>
    <t>National Finance Ltd.</t>
  </si>
  <si>
    <t>Peoples Finance Ltd.</t>
  </si>
  <si>
    <t>Nepal Ind. &amp; Com. Bank</t>
  </si>
  <si>
    <t>Machhapuchhre Bank</t>
  </si>
  <si>
    <t>Guheyshworr Finance</t>
  </si>
  <si>
    <t>Central Finance</t>
  </si>
  <si>
    <t>Patan Finance</t>
  </si>
  <si>
    <t>Ordinary</t>
  </si>
  <si>
    <t>Bageshwori Dev, Bank</t>
  </si>
  <si>
    <t>ordinary share</t>
  </si>
  <si>
    <t>Sahayogi Bikas Bank Ltd.</t>
  </si>
  <si>
    <t>1st July 07.</t>
  </si>
  <si>
    <t xml:space="preserve">Bhrikuti bikash bank </t>
  </si>
  <si>
    <t>5th July,07</t>
  </si>
  <si>
    <t>Annapurna Development Bank Ltd</t>
  </si>
  <si>
    <t>16th august 07</t>
  </si>
  <si>
    <t>Swabalamban Development Bank</t>
  </si>
  <si>
    <t>Ace Finance coverted to Development bank</t>
  </si>
  <si>
    <t>Imperial Finance Ltd.</t>
  </si>
  <si>
    <t>Nabil bank Ltd.</t>
  </si>
  <si>
    <t>bonus share announced but not listed</t>
  </si>
  <si>
    <t>National Hydro</t>
  </si>
  <si>
    <t>additional listing</t>
  </si>
  <si>
    <t>Himchuli Bikash Bank Limited</t>
  </si>
  <si>
    <t>Civil Merchant Bittya Sansthan</t>
  </si>
  <si>
    <t xml:space="preserve">Siddhartha Bank </t>
  </si>
  <si>
    <t>Kumari Bank</t>
  </si>
  <si>
    <t>Lumbini Bank</t>
  </si>
  <si>
    <t>Annapurna Finance Ltd.</t>
  </si>
  <si>
    <t>880000 rights and bonus</t>
  </si>
  <si>
    <t>bonus</t>
  </si>
  <si>
    <t>Universal Finance</t>
  </si>
  <si>
    <t>rights</t>
  </si>
  <si>
    <t>Nepal Housing &amp; Finance</t>
  </si>
  <si>
    <t>General Finance</t>
  </si>
  <si>
    <t>Pokhara Finance</t>
  </si>
  <si>
    <t>bonus and rights</t>
  </si>
  <si>
    <t>Premier Finance</t>
  </si>
  <si>
    <t>Navadurga Finance</t>
  </si>
  <si>
    <t>rights and bonus</t>
  </si>
  <si>
    <t>Butwal Finance</t>
  </si>
  <si>
    <t>Om Finance</t>
  </si>
  <si>
    <t>Kist Merchant Finance</t>
  </si>
  <si>
    <t>Capital Merchant Finance</t>
  </si>
  <si>
    <t>ICFC Biitiya Santha Ltd.</t>
  </si>
  <si>
    <t>EXCEL DEV BANK LTD.</t>
  </si>
  <si>
    <t>Malika Development Bank LTD</t>
  </si>
  <si>
    <t>Ordinary Share</t>
  </si>
  <si>
    <t>BiratLaxmi Development Bank LTD</t>
  </si>
  <si>
    <t>Nepal Express Finance LTD</t>
  </si>
  <si>
    <t>Lumbini Bank LTD</t>
  </si>
  <si>
    <t>Right Share</t>
  </si>
  <si>
    <t>Nepal Investment Bank LTD</t>
  </si>
  <si>
    <t>Bonus Share</t>
  </si>
  <si>
    <t>Siddhartha Bank LTD</t>
  </si>
  <si>
    <t>Nepal Industrial &amp; comm. Bank LTD</t>
  </si>
  <si>
    <t>Nepal Aawas Bikas Beeta</t>
  </si>
  <si>
    <t>Nepal Film Development Co.</t>
  </si>
  <si>
    <t>Bonusshare</t>
  </si>
  <si>
    <t>AFC</t>
  </si>
  <si>
    <t>STFL</t>
  </si>
  <si>
    <t>LGI</t>
  </si>
  <si>
    <t>DCBL</t>
  </si>
  <si>
    <t>Kanchan Development Bank Ltd.</t>
  </si>
  <si>
    <t>Prabhu Bikas Bank Ltd.</t>
  </si>
  <si>
    <t>Professional Diyalo Bikas Bank Ltd.</t>
  </si>
  <si>
    <t>National Life Insurance Co. Ltd. Promoter Share</t>
  </si>
  <si>
    <t>Prime Commercial Bank Ltd. Promoter Share</t>
  </si>
  <si>
    <t>Seti Finance Ltd. Promoter Share</t>
  </si>
  <si>
    <t>Debenture</t>
  </si>
  <si>
    <t>Manaslu Bikas Bank Ltd.</t>
  </si>
  <si>
    <t xml:space="preserve">Total </t>
  </si>
  <si>
    <t xml:space="preserve">  </t>
  </si>
  <si>
    <t xml:space="preserve">Nepal Doorsanchar Company Limited </t>
  </si>
  <si>
    <t xml:space="preserve">Bottlers Nepal (Terai)Ltd. </t>
  </si>
  <si>
    <t xml:space="preserve">Himalayan Distillery Ltd. </t>
  </si>
  <si>
    <t xml:space="preserve">Uniliver Nepal Ltd. </t>
  </si>
  <si>
    <t>Nepal Bank Limited</t>
  </si>
  <si>
    <t>Nov-Dec 2013</t>
  </si>
  <si>
    <t>Citizens Bank International Limited</t>
  </si>
  <si>
    <t>GRAND Bank Ltd.</t>
  </si>
  <si>
    <t>Janata Bank Nepal Ltd.</t>
  </si>
  <si>
    <t>Alliance Insurance Company Limited</t>
  </si>
  <si>
    <t>Asian Life Insurance Co. Limited</t>
  </si>
  <si>
    <t>Prime Life Insurance Company Limited</t>
  </si>
  <si>
    <t>Siddhartha Insurance Limited</t>
  </si>
  <si>
    <t>Surya Life Insurance Company Limited</t>
  </si>
  <si>
    <t>Company Name</t>
  </si>
  <si>
    <t>Share Quantity(in '000)</t>
  </si>
  <si>
    <t>Amount(in '000000)</t>
  </si>
  <si>
    <t>Number Of Trades</t>
  </si>
  <si>
    <t>Average Price</t>
  </si>
  <si>
    <t>Trading Days</t>
  </si>
  <si>
    <t>Sagarmatha Merchant Banking And Finance Limited</t>
  </si>
  <si>
    <t>Apex development Bank Ltd.</t>
  </si>
  <si>
    <t>Araniko Development Bank Limited</t>
  </si>
  <si>
    <t>Bagmati Development Bank Limited</t>
  </si>
  <si>
    <t>International Development Bank Ltd.</t>
  </si>
  <si>
    <t>Karnali Development Bank Limited</t>
  </si>
  <si>
    <t>Narayani Development Bank Ltd.</t>
  </si>
  <si>
    <t>NIDC Development Bank Ltd.</t>
  </si>
  <si>
    <t>Sindhu Bikash Bank Ltd.</t>
  </si>
  <si>
    <t>Vibor Bikas Bank Limited</t>
  </si>
  <si>
    <t>Alliance Insurance Company Ltd. Promoter</t>
  </si>
  <si>
    <t>Kailash Bikas Bank Ltd. Promoter Share</t>
  </si>
  <si>
    <t>Nepal Express Finance Limited Promoter Share</t>
  </si>
  <si>
    <t>Nepal Life Insurance Co. Ltd. Promoter</t>
  </si>
  <si>
    <t>Subbecha Bikas Bank Ltd. Promoter</t>
  </si>
  <si>
    <t>Dec-Jan 2014</t>
  </si>
  <si>
    <t>Poush- 2070</t>
  </si>
  <si>
    <t>Arun Valley Hydropower Development Co. Ltd.</t>
  </si>
  <si>
    <t xml:space="preserve">Agriculture Development Bank </t>
  </si>
  <si>
    <t>Everest Bank Ltd.</t>
  </si>
  <si>
    <t>Machhapuchhre Bank Ltd.</t>
  </si>
  <si>
    <t>Kist Bank Ltd.</t>
  </si>
  <si>
    <t>Apex Development Bank Ltd.</t>
  </si>
  <si>
    <t>Poush 2070</t>
  </si>
  <si>
    <t>Dec 2013-Jan 2014</t>
  </si>
  <si>
    <t>Dec- Jan 2014</t>
  </si>
  <si>
    <t>Today's</t>
  </si>
  <si>
    <t>Royal Merchant Banking and Finance Ltd.</t>
  </si>
  <si>
    <t>APEX</t>
  </si>
  <si>
    <t>MSBBL</t>
  </si>
  <si>
    <t>Monhtly Closing Price and Market Capitalization</t>
  </si>
  <si>
    <t>Mid Jul 2011-Mid Jan 2012</t>
  </si>
  <si>
    <t>Mid Jul 2012-Mid Jan 2013</t>
  </si>
  <si>
    <t>Mid Jul 2013-Mid Jan 2014</t>
  </si>
  <si>
    <t>Dec-Jan 2012 (Poush 2068)</t>
  </si>
  <si>
    <t>Dec-Jan 2013 (Poush 2069)</t>
  </si>
  <si>
    <t>Summary Sheet of First Six Month Transactions</t>
  </si>
  <si>
    <t>Listing on  Dec 2013-Jan 2014</t>
  </si>
  <si>
    <t>Sanima Mai Hydropower Ltd.</t>
  </si>
  <si>
    <t>2070-9-29</t>
  </si>
  <si>
    <t>NLG Insurance Co. Ltd.</t>
  </si>
  <si>
    <t>2070-9-5</t>
  </si>
  <si>
    <t>Bank Of Kathmandu Ltd.</t>
  </si>
  <si>
    <t>Surya Life Insurance CO. Ltd.</t>
  </si>
  <si>
    <t>Life Insurance Corporation (Nepal) Ltd.</t>
  </si>
  <si>
    <t>2070-9-18</t>
  </si>
  <si>
    <t>Triveni Bikas Bank Ltd.</t>
  </si>
  <si>
    <t>8% Himalayan Bank Ltd. Bond 2077</t>
  </si>
  <si>
    <t>2070-9-9</t>
  </si>
  <si>
    <t>NEPSE Sensitive Float Index at the end of Month</t>
  </si>
  <si>
    <t>Note:- US $ 1 =Rs. 99.21  (23 Jan 2014)</t>
  </si>
  <si>
    <t>Dec-Jan 2014 (Poush 2070)</t>
  </si>
  <si>
    <t>SHPC</t>
  </si>
</sst>
</file>

<file path=xl/styles.xml><?xml version="1.0" encoding="utf-8"?>
<styleSheet xmlns="http://schemas.openxmlformats.org/spreadsheetml/2006/main">
  <numFmts count="4">
    <numFmt numFmtId="43" formatCode="_(* #,##0.00_);_(* \(#,##0.00\);_(* &quot;-&quot;??_);_(@_)"/>
    <numFmt numFmtId="164" formatCode="0.000"/>
    <numFmt numFmtId="165" formatCode="[$-409]d\-mmm\-yy;@"/>
    <numFmt numFmtId="166" formatCode="0.0000000E+00"/>
  </numFmts>
  <fonts count="108">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10"/>
      <name val="Arial"/>
      <family val="2"/>
    </font>
    <font>
      <b/>
      <u/>
      <sz val="10"/>
      <name val="Arial"/>
      <family val="2"/>
    </font>
    <font>
      <sz val="16"/>
      <name val="Arial"/>
      <family val="2"/>
    </font>
    <font>
      <b/>
      <sz val="10"/>
      <name val="Times New Roman"/>
      <family val="1"/>
    </font>
    <font>
      <b/>
      <u/>
      <sz val="14"/>
      <name val="Times New Roman"/>
      <family val="1"/>
    </font>
    <font>
      <sz val="10"/>
      <name val="Times New Roman"/>
      <family val="1"/>
    </font>
    <font>
      <sz val="11"/>
      <name val="Times New Roman"/>
      <family val="1"/>
    </font>
    <font>
      <sz val="14"/>
      <name val="Arial"/>
      <family val="2"/>
    </font>
    <font>
      <sz val="14"/>
      <name val="Times New Roman"/>
      <family val="1"/>
    </font>
    <font>
      <b/>
      <sz val="16"/>
      <name val="Arial"/>
      <family val="2"/>
    </font>
    <font>
      <b/>
      <sz val="12"/>
      <name val="Arial"/>
      <family val="2"/>
    </font>
    <font>
      <sz val="14"/>
      <name val="Times New Roman"/>
      <family val="1"/>
    </font>
    <font>
      <sz val="10"/>
      <name val="Arial"/>
      <family val="2"/>
    </font>
    <font>
      <b/>
      <sz val="18"/>
      <name val="Times New Roman"/>
      <family val="1"/>
    </font>
    <font>
      <b/>
      <sz val="10"/>
      <color indexed="62"/>
      <name val="Arial"/>
      <family val="2"/>
    </font>
    <font>
      <sz val="10"/>
      <color indexed="62"/>
      <name val="Arial"/>
      <family val="2"/>
    </font>
    <font>
      <b/>
      <sz val="11"/>
      <color indexed="62"/>
      <name val="Times New Roman"/>
      <family val="1"/>
    </font>
    <font>
      <sz val="10"/>
      <color indexed="53"/>
      <name val="Arial"/>
      <family val="2"/>
    </font>
    <font>
      <b/>
      <sz val="10"/>
      <color indexed="53"/>
      <name val="Arial"/>
      <family val="2"/>
    </font>
    <font>
      <b/>
      <sz val="18"/>
      <name val="Arial"/>
      <family val="2"/>
    </font>
    <font>
      <b/>
      <sz val="14"/>
      <name val="Arial"/>
      <family val="2"/>
    </font>
    <font>
      <b/>
      <u/>
      <sz val="14"/>
      <name val="Arial"/>
      <family val="2"/>
    </font>
    <font>
      <b/>
      <u/>
      <sz val="18"/>
      <name val="Arial"/>
      <family val="2"/>
    </font>
    <font>
      <sz val="10"/>
      <name val="Arial"/>
      <family val="2"/>
    </font>
    <font>
      <sz val="10"/>
      <name val="Arial"/>
      <family val="2"/>
    </font>
    <font>
      <b/>
      <sz val="11"/>
      <name val="Times New Roman"/>
      <family val="1"/>
    </font>
    <font>
      <b/>
      <sz val="16"/>
      <color indexed="62"/>
      <name val="Times New Roman"/>
      <family val="1"/>
    </font>
    <font>
      <sz val="16"/>
      <name val="Times New Roman"/>
      <family val="1"/>
    </font>
    <font>
      <b/>
      <sz val="16"/>
      <name val="Times New Roman"/>
      <family val="1"/>
    </font>
    <font>
      <b/>
      <u/>
      <sz val="18"/>
      <name val="Times New Roman"/>
      <family val="1"/>
    </font>
    <font>
      <b/>
      <sz val="14"/>
      <color indexed="62"/>
      <name val="Times New Roman"/>
      <family val="1"/>
    </font>
    <font>
      <sz val="10"/>
      <color indexed="62"/>
      <name val="Times New Roman"/>
      <family val="1"/>
    </font>
    <font>
      <b/>
      <sz val="12"/>
      <name val="Times New Roman"/>
      <family val="1"/>
    </font>
    <font>
      <b/>
      <sz val="9"/>
      <color indexed="62"/>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b/>
      <sz val="11"/>
      <color indexed="63"/>
      <name val="Calibri"/>
      <family val="2"/>
    </font>
    <font>
      <b/>
      <sz val="18"/>
      <color indexed="62"/>
      <name val="Cambria"/>
      <family val="2"/>
    </font>
    <font>
      <b/>
      <sz val="11"/>
      <color indexed="8"/>
      <name val="Calibri"/>
      <family val="2"/>
    </font>
    <font>
      <b/>
      <sz val="10"/>
      <color indexed="48"/>
      <name val="Times New Roman"/>
      <family val="1"/>
    </font>
    <font>
      <b/>
      <sz val="10"/>
      <color indexed="48"/>
      <name val="Arial"/>
      <family val="2"/>
    </font>
    <font>
      <b/>
      <sz val="8"/>
      <color indexed="48"/>
      <name val="Times New Roman"/>
      <family val="1"/>
    </font>
    <font>
      <sz val="10"/>
      <name val="Arial"/>
      <family val="2"/>
    </font>
    <font>
      <b/>
      <sz val="14"/>
      <name val="Times New Roman"/>
      <family val="1"/>
    </font>
    <font>
      <b/>
      <u/>
      <sz val="20"/>
      <name val="Arial"/>
      <family val="2"/>
    </font>
    <font>
      <sz val="8"/>
      <name val="Times New Roman"/>
      <family val="1"/>
    </font>
    <font>
      <sz val="10"/>
      <name val="Arial"/>
      <family val="2"/>
    </font>
    <font>
      <b/>
      <sz val="8"/>
      <name val="Arial"/>
      <family val="2"/>
    </font>
    <font>
      <sz val="10"/>
      <name val="Arial"/>
      <family val="2"/>
    </font>
    <font>
      <sz val="10"/>
      <color indexed="60"/>
      <name val="Arial"/>
      <family val="2"/>
    </font>
    <font>
      <sz val="11"/>
      <color theme="1"/>
      <name val="Calibri"/>
      <family val="2"/>
      <scheme val="minor"/>
    </font>
    <font>
      <b/>
      <sz val="12"/>
      <color theme="1"/>
      <name val="Arial"/>
      <family val="2"/>
    </font>
    <font>
      <sz val="1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0"/>
      <name val="Arial"/>
      <family val="2"/>
    </font>
    <font>
      <sz val="10"/>
      <color rgb="FFFF0000"/>
      <name val="Arial"/>
      <family val="2"/>
    </font>
    <font>
      <b/>
      <sz val="11"/>
      <color indexed="10"/>
      <name val="Times New Roman"/>
      <family val="1"/>
    </font>
    <font>
      <sz val="10"/>
      <color indexed="10"/>
      <name val="Arial"/>
      <family val="2"/>
    </font>
    <font>
      <sz val="10"/>
      <color theme="1"/>
      <name val="Arial"/>
      <family val="2"/>
    </font>
    <font>
      <b/>
      <sz val="12"/>
      <color theme="1"/>
      <name val="Calibri"/>
      <family val="2"/>
      <scheme val="minor"/>
    </font>
    <font>
      <sz val="10"/>
      <name val="Arial"/>
      <family val="2"/>
    </font>
    <font>
      <sz val="12"/>
      <name val="Times New Roman"/>
      <family val="1"/>
    </font>
    <font>
      <u/>
      <sz val="10"/>
      <name val="Times New Roman"/>
      <family val="1"/>
    </font>
    <font>
      <sz val="10"/>
      <color rgb="FF7030A0"/>
      <name val="Arial"/>
      <family val="2"/>
    </font>
    <font>
      <sz val="10"/>
      <color theme="7"/>
      <name val="Arial"/>
      <family val="2"/>
    </font>
    <font>
      <sz val="10"/>
      <color indexed="17"/>
      <name val="Arial"/>
      <family val="2"/>
    </font>
    <font>
      <sz val="10"/>
      <color indexed="8"/>
      <name val="Arial"/>
      <family val="2"/>
    </font>
    <font>
      <sz val="10"/>
      <color indexed="61"/>
      <name val="Arial"/>
      <family val="2"/>
    </font>
    <font>
      <sz val="10"/>
      <color indexed="14"/>
      <name val="Arial"/>
      <family val="2"/>
    </font>
    <font>
      <sz val="10"/>
      <color indexed="18"/>
      <name val="Arial"/>
      <family val="2"/>
    </font>
    <font>
      <b/>
      <sz val="8"/>
      <color indexed="81"/>
      <name val="Tahoma"/>
      <family val="2"/>
    </font>
    <font>
      <sz val="8"/>
      <color indexed="81"/>
      <name val="Tahoma"/>
      <family val="2"/>
    </font>
    <font>
      <b/>
      <sz val="10"/>
      <color rgb="FFFF0000"/>
      <name val="Arial"/>
      <family val="2"/>
    </font>
  </fonts>
  <fills count="52">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
      <patternFill patternType="solid">
        <fgColor indexed="42"/>
        <bgColor indexed="64"/>
      </patternFill>
    </fill>
    <fill>
      <patternFill patternType="solid">
        <fgColor indexed="2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4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8"/>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right style="thin">
        <color indexed="8"/>
      </right>
      <top/>
      <bottom style="thin">
        <color indexed="64"/>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s>
  <cellStyleXfs count="245">
    <xf numFmtId="0" fontId="0" fillId="0" borderId="0"/>
    <xf numFmtId="0" fontId="42" fillId="2" borderId="0" applyNumberFormat="0" applyBorder="0" applyAlignment="0" applyProtection="0"/>
    <xf numFmtId="0" fontId="42" fillId="2" borderId="0" applyNumberFormat="0" applyBorder="0" applyAlignment="0" applyProtection="0"/>
    <xf numFmtId="0" fontId="42" fillId="2" borderId="0" applyNumberFormat="0" applyBorder="0" applyAlignment="0" applyProtection="0"/>
    <xf numFmtId="0" fontId="42" fillId="3" borderId="0" applyNumberFormat="0" applyBorder="0" applyAlignment="0" applyProtection="0"/>
    <xf numFmtId="0" fontId="42" fillId="3" borderId="0" applyNumberFormat="0" applyBorder="0" applyAlignment="0" applyProtection="0"/>
    <xf numFmtId="0" fontId="42" fillId="3" borderId="0" applyNumberFormat="0" applyBorder="0" applyAlignment="0" applyProtection="0"/>
    <xf numFmtId="0" fontId="42" fillId="4" borderId="0" applyNumberFormat="0" applyBorder="0" applyAlignment="0" applyProtection="0"/>
    <xf numFmtId="0" fontId="42" fillId="4" borderId="0" applyNumberFormat="0" applyBorder="0" applyAlignment="0" applyProtection="0"/>
    <xf numFmtId="0" fontId="42" fillId="4" borderId="0" applyNumberFormat="0" applyBorder="0" applyAlignment="0" applyProtection="0"/>
    <xf numFmtId="0" fontId="42" fillId="5" borderId="0" applyNumberFormat="0" applyBorder="0" applyAlignment="0" applyProtection="0"/>
    <xf numFmtId="0" fontId="42" fillId="5" borderId="0" applyNumberFormat="0" applyBorder="0" applyAlignment="0" applyProtection="0"/>
    <xf numFmtId="0" fontId="42" fillId="5" borderId="0" applyNumberFormat="0" applyBorder="0" applyAlignment="0" applyProtection="0"/>
    <xf numFmtId="0" fontId="42" fillId="6" borderId="0" applyNumberFormat="0" applyBorder="0" applyAlignment="0" applyProtection="0"/>
    <xf numFmtId="0" fontId="42" fillId="6" borderId="0" applyNumberFormat="0" applyBorder="0" applyAlignment="0" applyProtection="0"/>
    <xf numFmtId="0" fontId="42" fillId="6" borderId="0" applyNumberFormat="0" applyBorder="0" applyAlignment="0" applyProtection="0"/>
    <xf numFmtId="0" fontId="42" fillId="4" borderId="0" applyNumberFormat="0" applyBorder="0" applyAlignment="0" applyProtection="0"/>
    <xf numFmtId="0" fontId="42" fillId="4" borderId="0" applyNumberFormat="0" applyBorder="0" applyAlignment="0" applyProtection="0"/>
    <xf numFmtId="0" fontId="42" fillId="4" borderId="0" applyNumberFormat="0" applyBorder="0" applyAlignment="0" applyProtection="0"/>
    <xf numFmtId="0" fontId="42" fillId="6" borderId="0" applyNumberFormat="0" applyBorder="0" applyAlignment="0" applyProtection="0"/>
    <xf numFmtId="0" fontId="42" fillId="6" borderId="0" applyNumberFormat="0" applyBorder="0" applyAlignment="0" applyProtection="0"/>
    <xf numFmtId="0" fontId="42" fillId="6" borderId="0" applyNumberFormat="0" applyBorder="0" applyAlignment="0" applyProtection="0"/>
    <xf numFmtId="0" fontId="42" fillId="3" borderId="0" applyNumberFormat="0" applyBorder="0" applyAlignment="0" applyProtection="0"/>
    <xf numFmtId="0" fontId="42" fillId="3" borderId="0" applyNumberFormat="0" applyBorder="0" applyAlignment="0" applyProtection="0"/>
    <xf numFmtId="0" fontId="42" fillId="3" borderId="0" applyNumberFormat="0" applyBorder="0" applyAlignment="0" applyProtection="0"/>
    <xf numFmtId="0" fontId="42" fillId="7" borderId="0" applyNumberFormat="0" applyBorder="0" applyAlignment="0" applyProtection="0"/>
    <xf numFmtId="0" fontId="42" fillId="7" borderId="0" applyNumberFormat="0" applyBorder="0" applyAlignment="0" applyProtection="0"/>
    <xf numFmtId="0" fontId="42" fillId="7" borderId="0" applyNumberFormat="0" applyBorder="0" applyAlignment="0" applyProtection="0"/>
    <xf numFmtId="0" fontId="42" fillId="8" borderId="0" applyNumberFormat="0" applyBorder="0" applyAlignment="0" applyProtection="0"/>
    <xf numFmtId="0" fontId="42" fillId="8" borderId="0" applyNumberFormat="0" applyBorder="0" applyAlignment="0" applyProtection="0"/>
    <xf numFmtId="0" fontId="42" fillId="8" borderId="0" applyNumberFormat="0" applyBorder="0" applyAlignment="0" applyProtection="0"/>
    <xf numFmtId="0" fontId="42" fillId="6" borderId="0" applyNumberFormat="0" applyBorder="0" applyAlignment="0" applyProtection="0"/>
    <xf numFmtId="0" fontId="42" fillId="6" borderId="0" applyNumberFormat="0" applyBorder="0" applyAlignment="0" applyProtection="0"/>
    <xf numFmtId="0" fontId="42" fillId="6" borderId="0" applyNumberFormat="0" applyBorder="0" applyAlignment="0" applyProtection="0"/>
    <xf numFmtId="0" fontId="42" fillId="4" borderId="0" applyNumberFormat="0" applyBorder="0" applyAlignment="0" applyProtection="0"/>
    <xf numFmtId="0" fontId="42" fillId="4" borderId="0" applyNumberFormat="0" applyBorder="0" applyAlignment="0" applyProtection="0"/>
    <xf numFmtId="0" fontId="42" fillId="4" borderId="0" applyNumberFormat="0" applyBorder="0" applyAlignment="0" applyProtection="0"/>
    <xf numFmtId="0" fontId="43" fillId="6" borderId="0" applyNumberFormat="0" applyBorder="0" applyAlignment="0" applyProtection="0"/>
    <xf numFmtId="0" fontId="43" fillId="6" borderId="0" applyNumberFormat="0" applyBorder="0" applyAlignment="0" applyProtection="0"/>
    <xf numFmtId="0" fontId="43" fillId="6" borderId="0" applyNumberFormat="0" applyBorder="0" applyAlignment="0" applyProtection="0"/>
    <xf numFmtId="0" fontId="43" fillId="9" borderId="0" applyNumberFormat="0" applyBorder="0" applyAlignment="0" applyProtection="0"/>
    <xf numFmtId="0" fontId="43" fillId="9" borderId="0" applyNumberFormat="0" applyBorder="0" applyAlignment="0" applyProtection="0"/>
    <xf numFmtId="0" fontId="43" fillId="9" borderId="0" applyNumberFormat="0" applyBorder="0" applyAlignment="0" applyProtection="0"/>
    <xf numFmtId="0" fontId="43" fillId="10" borderId="0" applyNumberFormat="0" applyBorder="0" applyAlignment="0" applyProtection="0"/>
    <xf numFmtId="0" fontId="43" fillId="10" borderId="0" applyNumberFormat="0" applyBorder="0" applyAlignment="0" applyProtection="0"/>
    <xf numFmtId="0" fontId="43" fillId="10" borderId="0" applyNumberFormat="0" applyBorder="0" applyAlignment="0" applyProtection="0"/>
    <xf numFmtId="0" fontId="43" fillId="8" borderId="0" applyNumberFormat="0" applyBorder="0" applyAlignment="0" applyProtection="0"/>
    <xf numFmtId="0" fontId="43" fillId="8" borderId="0" applyNumberFormat="0" applyBorder="0" applyAlignment="0" applyProtection="0"/>
    <xf numFmtId="0" fontId="43" fillId="8" borderId="0" applyNumberFormat="0" applyBorder="0" applyAlignment="0" applyProtection="0"/>
    <xf numFmtId="0" fontId="43" fillId="6" borderId="0" applyNumberFormat="0" applyBorder="0" applyAlignment="0" applyProtection="0"/>
    <xf numFmtId="0" fontId="43" fillId="6" borderId="0" applyNumberFormat="0" applyBorder="0" applyAlignment="0" applyProtection="0"/>
    <xf numFmtId="0" fontId="43" fillId="6" borderId="0" applyNumberFormat="0" applyBorder="0" applyAlignment="0" applyProtection="0"/>
    <xf numFmtId="0" fontId="43" fillId="3" borderId="0" applyNumberFormat="0" applyBorder="0" applyAlignment="0" applyProtection="0"/>
    <xf numFmtId="0" fontId="43" fillId="3" borderId="0" applyNumberFormat="0" applyBorder="0" applyAlignment="0" applyProtection="0"/>
    <xf numFmtId="0" fontId="43" fillId="3"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9" borderId="0" applyNumberFormat="0" applyBorder="0" applyAlignment="0" applyProtection="0"/>
    <xf numFmtId="0" fontId="43" fillId="9" borderId="0" applyNumberFormat="0" applyBorder="0" applyAlignment="0" applyProtection="0"/>
    <xf numFmtId="0" fontId="43" fillId="9" borderId="0" applyNumberFormat="0" applyBorder="0" applyAlignment="0" applyProtection="0"/>
    <xf numFmtId="0" fontId="43" fillId="10" borderId="0" applyNumberFormat="0" applyBorder="0" applyAlignment="0" applyProtection="0"/>
    <xf numFmtId="0" fontId="43" fillId="10" borderId="0" applyNumberFormat="0" applyBorder="0" applyAlignment="0" applyProtection="0"/>
    <xf numFmtId="0" fontId="43" fillId="10" borderId="0" applyNumberFormat="0" applyBorder="0" applyAlignment="0" applyProtection="0"/>
    <xf numFmtId="0" fontId="43" fillId="12" borderId="0" applyNumberFormat="0" applyBorder="0" applyAlignment="0" applyProtection="0"/>
    <xf numFmtId="0" fontId="43" fillId="12" borderId="0" applyNumberFormat="0" applyBorder="0" applyAlignment="0" applyProtection="0"/>
    <xf numFmtId="0" fontId="43" fillId="12"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4" borderId="0" applyNumberFormat="0" applyBorder="0" applyAlignment="0" applyProtection="0"/>
    <xf numFmtId="0" fontId="43" fillId="14" borderId="0" applyNumberFormat="0" applyBorder="0" applyAlignment="0" applyProtection="0"/>
    <xf numFmtId="0" fontId="43" fillId="14" borderId="0" applyNumberFormat="0" applyBorder="0" applyAlignment="0" applyProtection="0"/>
    <xf numFmtId="0" fontId="44" fillId="15" borderId="0" applyNumberFormat="0" applyBorder="0" applyAlignment="0" applyProtection="0"/>
    <xf numFmtId="0" fontId="44" fillId="15" borderId="0" applyNumberFormat="0" applyBorder="0" applyAlignment="0" applyProtection="0"/>
    <xf numFmtId="0" fontId="44" fillId="15" borderId="0" applyNumberFormat="0" applyBorder="0" applyAlignment="0" applyProtection="0"/>
    <xf numFmtId="0" fontId="45" fillId="16" borderId="1" applyNumberFormat="0" applyAlignment="0" applyProtection="0"/>
    <xf numFmtId="0" fontId="45" fillId="16" borderId="1" applyNumberFormat="0" applyAlignment="0" applyProtection="0"/>
    <xf numFmtId="0" fontId="45" fillId="16" borderId="1" applyNumberFormat="0" applyAlignment="0" applyProtection="0"/>
    <xf numFmtId="0" fontId="46" fillId="17" borderId="2" applyNumberFormat="0" applyAlignment="0" applyProtection="0"/>
    <xf numFmtId="0" fontId="46" fillId="17" borderId="2" applyNumberFormat="0" applyAlignment="0" applyProtection="0"/>
    <xf numFmtId="0" fontId="46" fillId="17" borderId="2" applyNumberFormat="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8" fillId="6" borderId="0" applyNumberFormat="0" applyBorder="0" applyAlignment="0" applyProtection="0"/>
    <xf numFmtId="0" fontId="48" fillId="6" borderId="0" applyNumberFormat="0" applyBorder="0" applyAlignment="0" applyProtection="0"/>
    <xf numFmtId="0" fontId="48" fillId="6" borderId="0" applyNumberFormat="0" applyBorder="0" applyAlignment="0" applyProtection="0"/>
    <xf numFmtId="0" fontId="49" fillId="0" borderId="3" applyNumberFormat="0" applyFill="0" applyAlignment="0" applyProtection="0"/>
    <xf numFmtId="0" fontId="49" fillId="0" borderId="3" applyNumberFormat="0" applyFill="0" applyAlignment="0" applyProtection="0"/>
    <xf numFmtId="0" fontId="49" fillId="0" borderId="3" applyNumberFormat="0" applyFill="0" applyAlignment="0" applyProtection="0"/>
    <xf numFmtId="0" fontId="50" fillId="0" borderId="4" applyNumberFormat="0" applyFill="0" applyAlignment="0" applyProtection="0"/>
    <xf numFmtId="0" fontId="50" fillId="0" borderId="4" applyNumberFormat="0" applyFill="0" applyAlignment="0" applyProtection="0"/>
    <xf numFmtId="0" fontId="50" fillId="0" borderId="4" applyNumberFormat="0" applyFill="0" applyAlignment="0" applyProtection="0"/>
    <xf numFmtId="0" fontId="51" fillId="0" borderId="5" applyNumberFormat="0" applyFill="0" applyAlignment="0" applyProtection="0"/>
    <xf numFmtId="0" fontId="51" fillId="0" borderId="5" applyNumberFormat="0" applyFill="0" applyAlignment="0" applyProtection="0"/>
    <xf numFmtId="0" fontId="51" fillId="0" borderId="5" applyNumberFormat="0" applyFill="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2" fillId="7" borderId="1" applyNumberFormat="0" applyAlignment="0" applyProtection="0"/>
    <xf numFmtId="0" fontId="52" fillId="7" borderId="1" applyNumberFormat="0" applyAlignment="0" applyProtection="0"/>
    <xf numFmtId="0" fontId="52" fillId="7" borderId="1" applyNumberFormat="0" applyAlignment="0" applyProtection="0"/>
    <xf numFmtId="0" fontId="53" fillId="0" borderId="6" applyNumberFormat="0" applyFill="0" applyAlignment="0" applyProtection="0"/>
    <xf numFmtId="0" fontId="53" fillId="0" borderId="6" applyNumberFormat="0" applyFill="0" applyAlignment="0" applyProtection="0"/>
    <xf numFmtId="0" fontId="53" fillId="0" borderId="6" applyNumberFormat="0" applyFill="0" applyAlignment="0" applyProtection="0"/>
    <xf numFmtId="0" fontId="54" fillId="7" borderId="0" applyNumberFormat="0" applyBorder="0" applyAlignment="0" applyProtection="0"/>
    <xf numFmtId="0" fontId="54" fillId="7" borderId="0" applyNumberFormat="0" applyBorder="0" applyAlignment="0" applyProtection="0"/>
    <xf numFmtId="0" fontId="54" fillId="7" borderId="0" applyNumberFormat="0" applyBorder="0" applyAlignment="0" applyProtection="0"/>
    <xf numFmtId="0" fontId="31" fillId="0" borderId="0"/>
    <xf numFmtId="0" fontId="7" fillId="0" borderId="0"/>
    <xf numFmtId="0" fontId="7" fillId="0" borderId="0"/>
    <xf numFmtId="0" fontId="7" fillId="0" borderId="0"/>
    <xf numFmtId="0" fontId="69" fillId="0" borderId="0"/>
    <xf numFmtId="0" fontId="67" fillId="0" borderId="0"/>
    <xf numFmtId="0" fontId="7" fillId="4" borderId="7" applyNumberFormat="0" applyFont="0" applyAlignment="0" applyProtection="0"/>
    <xf numFmtId="0" fontId="7" fillId="4" borderId="7" applyNumberFormat="0" applyFont="0" applyAlignment="0" applyProtection="0"/>
    <xf numFmtId="0" fontId="7" fillId="4" borderId="7" applyNumberFormat="0" applyFont="0" applyAlignment="0" applyProtection="0"/>
    <xf numFmtId="0" fontId="55" fillId="16" borderId="8" applyNumberFormat="0" applyAlignment="0" applyProtection="0"/>
    <xf numFmtId="0" fontId="55" fillId="16" borderId="8" applyNumberFormat="0" applyAlignment="0" applyProtection="0"/>
    <xf numFmtId="0" fontId="55" fillId="16" borderId="8" applyNumberFormat="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7" fillId="0" borderId="9" applyNumberFormat="0" applyFill="0" applyAlignment="0" applyProtection="0"/>
    <xf numFmtId="0" fontId="57" fillId="0" borderId="9" applyNumberFormat="0" applyFill="0" applyAlignment="0" applyProtection="0"/>
    <xf numFmtId="0" fontId="57" fillId="0" borderId="9" applyNumberFormat="0" applyFill="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71" fillId="0" borderId="0"/>
    <xf numFmtId="0" fontId="7" fillId="0" borderId="0"/>
    <xf numFmtId="0" fontId="5" fillId="0" borderId="0"/>
    <xf numFmtId="0" fontId="72" fillId="0" borderId="0" applyNumberFormat="0" applyFill="0" applyBorder="0" applyAlignment="0" applyProtection="0"/>
    <xf numFmtId="0" fontId="73" fillId="0" borderId="26" applyNumberFormat="0" applyFill="0" applyAlignment="0" applyProtection="0"/>
    <xf numFmtId="0" fontId="74" fillId="0" borderId="27" applyNumberFormat="0" applyFill="0" applyAlignment="0" applyProtection="0"/>
    <xf numFmtId="0" fontId="75" fillId="0" borderId="28" applyNumberFormat="0" applyFill="0" applyAlignment="0" applyProtection="0"/>
    <xf numFmtId="0" fontId="75" fillId="0" borderId="0" applyNumberFormat="0" applyFill="0" applyBorder="0" applyAlignment="0" applyProtection="0"/>
    <xf numFmtId="0" fontId="76" fillId="21" borderId="0" applyNumberFormat="0" applyBorder="0" applyAlignment="0" applyProtection="0"/>
    <xf numFmtId="0" fontId="77" fillId="22" borderId="0" applyNumberFormat="0" applyBorder="0" applyAlignment="0" applyProtection="0"/>
    <xf numFmtId="0" fontId="78" fillId="23" borderId="0" applyNumberFormat="0" applyBorder="0" applyAlignment="0" applyProtection="0"/>
    <xf numFmtId="0" fontId="79" fillId="24" borderId="29" applyNumberFormat="0" applyAlignment="0" applyProtection="0"/>
    <xf numFmtId="0" fontId="80" fillId="25" borderId="30" applyNumberFormat="0" applyAlignment="0" applyProtection="0"/>
    <xf numFmtId="0" fontId="81" fillId="25" borderId="29" applyNumberFormat="0" applyAlignment="0" applyProtection="0"/>
    <xf numFmtId="0" fontId="82" fillId="0" borderId="31" applyNumberFormat="0" applyFill="0" applyAlignment="0" applyProtection="0"/>
    <xf numFmtId="0" fontId="83" fillId="26" borderId="32" applyNumberFormat="0" applyAlignment="0" applyProtection="0"/>
    <xf numFmtId="0" fontId="84" fillId="0" borderId="0" applyNumberFormat="0" applyFill="0" applyBorder="0" applyAlignment="0" applyProtection="0"/>
    <xf numFmtId="0" fontId="5" fillId="27" borderId="33" applyNumberFormat="0" applyFont="0" applyAlignment="0" applyProtection="0"/>
    <xf numFmtId="0" fontId="85" fillId="0" borderId="0" applyNumberFormat="0" applyFill="0" applyBorder="0" applyAlignment="0" applyProtection="0"/>
    <xf numFmtId="0" fontId="86" fillId="0" borderId="34" applyNumberFormat="0" applyFill="0" applyAlignment="0" applyProtection="0"/>
    <xf numFmtId="0" fontId="87" fillId="28" borderId="0" applyNumberFormat="0" applyBorder="0" applyAlignment="0" applyProtection="0"/>
    <xf numFmtId="0" fontId="5" fillId="29" borderId="0" applyNumberFormat="0" applyBorder="0" applyAlignment="0" applyProtection="0"/>
    <xf numFmtId="0" fontId="5" fillId="30" borderId="0" applyNumberFormat="0" applyBorder="0" applyAlignment="0" applyProtection="0"/>
    <xf numFmtId="0" fontId="87" fillId="31" borderId="0" applyNumberFormat="0" applyBorder="0" applyAlignment="0" applyProtection="0"/>
    <xf numFmtId="0" fontId="87" fillId="32"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87" fillId="35" borderId="0" applyNumberFormat="0" applyBorder="0" applyAlignment="0" applyProtection="0"/>
    <xf numFmtId="0" fontId="87" fillId="36" borderId="0" applyNumberFormat="0" applyBorder="0" applyAlignment="0" applyProtection="0"/>
    <xf numFmtId="0" fontId="5" fillId="37" borderId="0" applyNumberFormat="0" applyBorder="0" applyAlignment="0" applyProtection="0"/>
    <xf numFmtId="0" fontId="5" fillId="38" borderId="0" applyNumberFormat="0" applyBorder="0" applyAlignment="0" applyProtection="0"/>
    <xf numFmtId="0" fontId="87" fillId="39" borderId="0" applyNumberFormat="0" applyBorder="0" applyAlignment="0" applyProtection="0"/>
    <xf numFmtId="0" fontId="87" fillId="40"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87" fillId="43" borderId="0" applyNumberFormat="0" applyBorder="0" applyAlignment="0" applyProtection="0"/>
    <xf numFmtId="0" fontId="87" fillId="44" borderId="0" applyNumberFormat="0" applyBorder="0" applyAlignment="0" applyProtection="0"/>
    <xf numFmtId="0" fontId="5" fillId="45" borderId="0" applyNumberFormat="0" applyBorder="0" applyAlignment="0" applyProtection="0"/>
    <xf numFmtId="0" fontId="5" fillId="46" borderId="0" applyNumberFormat="0" applyBorder="0" applyAlignment="0" applyProtection="0"/>
    <xf numFmtId="0" fontId="87" fillId="47" borderId="0" applyNumberFormat="0" applyBorder="0" applyAlignment="0" applyProtection="0"/>
    <xf numFmtId="0" fontId="87" fillId="48" borderId="0" applyNumberFormat="0" applyBorder="0" applyAlignment="0" applyProtection="0"/>
    <xf numFmtId="0" fontId="5" fillId="49" borderId="0" applyNumberFormat="0" applyBorder="0" applyAlignment="0" applyProtection="0"/>
    <xf numFmtId="0" fontId="5" fillId="50" borderId="0" applyNumberFormat="0" applyBorder="0" applyAlignment="0" applyProtection="0"/>
    <xf numFmtId="0" fontId="87" fillId="51" borderId="0" applyNumberFormat="0" applyBorder="0" applyAlignment="0" applyProtection="0"/>
    <xf numFmtId="0" fontId="88" fillId="0" borderId="0"/>
    <xf numFmtId="0" fontId="89" fillId="0" borderId="0"/>
    <xf numFmtId="0" fontId="95" fillId="0" borderId="0"/>
    <xf numFmtId="0" fontId="7" fillId="0" borderId="0"/>
    <xf numFmtId="43" fontId="7" fillId="0" borderId="0" applyFont="0" applyFill="0" applyBorder="0" applyAlignment="0" applyProtection="0"/>
    <xf numFmtId="0" fontId="4" fillId="0" borderId="0"/>
    <xf numFmtId="0" fontId="7" fillId="0" borderId="0"/>
    <xf numFmtId="0" fontId="42" fillId="2" borderId="0" applyNumberFormat="0" applyBorder="0" applyAlignment="0" applyProtection="0"/>
    <xf numFmtId="0" fontId="42" fillId="3" borderId="0" applyNumberFormat="0" applyBorder="0" applyAlignment="0" applyProtection="0"/>
    <xf numFmtId="0" fontId="42" fillId="4" borderId="0" applyNumberFormat="0" applyBorder="0" applyAlignment="0" applyProtection="0"/>
    <xf numFmtId="0" fontId="42" fillId="5" borderId="0" applyNumberFormat="0" applyBorder="0" applyAlignment="0" applyProtection="0"/>
    <xf numFmtId="0" fontId="42" fillId="6" borderId="0" applyNumberFormat="0" applyBorder="0" applyAlignment="0" applyProtection="0"/>
    <xf numFmtId="0" fontId="42" fillId="4" borderId="0" applyNumberFormat="0" applyBorder="0" applyAlignment="0" applyProtection="0"/>
    <xf numFmtId="0" fontId="42" fillId="6" borderId="0" applyNumberFormat="0" applyBorder="0" applyAlignment="0" applyProtection="0"/>
    <xf numFmtId="0" fontId="42" fillId="3" borderId="0" applyNumberFormat="0" applyBorder="0" applyAlignment="0" applyProtection="0"/>
    <xf numFmtId="0" fontId="42" fillId="7" borderId="0" applyNumberFormat="0" applyBorder="0" applyAlignment="0" applyProtection="0"/>
    <xf numFmtId="0" fontId="42" fillId="8" borderId="0" applyNumberFormat="0" applyBorder="0" applyAlignment="0" applyProtection="0"/>
    <xf numFmtId="0" fontId="42" fillId="6" borderId="0" applyNumberFormat="0" applyBorder="0" applyAlignment="0" applyProtection="0"/>
    <xf numFmtId="0" fontId="42" fillId="4" borderId="0" applyNumberFormat="0" applyBorder="0" applyAlignment="0" applyProtection="0"/>
    <xf numFmtId="0" fontId="43" fillId="6" borderId="0" applyNumberFormat="0" applyBorder="0" applyAlignment="0" applyProtection="0"/>
    <xf numFmtId="0" fontId="43" fillId="9" borderId="0" applyNumberFormat="0" applyBorder="0" applyAlignment="0" applyProtection="0"/>
    <xf numFmtId="0" fontId="43" fillId="10" borderId="0" applyNumberFormat="0" applyBorder="0" applyAlignment="0" applyProtection="0"/>
    <xf numFmtId="0" fontId="43" fillId="8" borderId="0" applyNumberFormat="0" applyBorder="0" applyAlignment="0" applyProtection="0"/>
    <xf numFmtId="0" fontId="43" fillId="6" borderId="0" applyNumberFormat="0" applyBorder="0" applyAlignment="0" applyProtection="0"/>
    <xf numFmtId="0" fontId="43" fillId="3" borderId="0" applyNumberFormat="0" applyBorder="0" applyAlignment="0" applyProtection="0"/>
    <xf numFmtId="0" fontId="43" fillId="11" borderId="0" applyNumberFormat="0" applyBorder="0" applyAlignment="0" applyProtection="0"/>
    <xf numFmtId="0" fontId="43" fillId="9" borderId="0" applyNumberFormat="0" applyBorder="0" applyAlignment="0" applyProtection="0"/>
    <xf numFmtId="0" fontId="43" fillId="10" borderId="0" applyNumberFormat="0" applyBorder="0" applyAlignment="0" applyProtection="0"/>
    <xf numFmtId="0" fontId="43" fillId="12" borderId="0" applyNumberFormat="0" applyBorder="0" applyAlignment="0" applyProtection="0"/>
    <xf numFmtId="0" fontId="43" fillId="13" borderId="0" applyNumberFormat="0" applyBorder="0" applyAlignment="0" applyProtection="0"/>
    <xf numFmtId="0" fontId="43" fillId="14" borderId="0" applyNumberFormat="0" applyBorder="0" applyAlignment="0" applyProtection="0"/>
    <xf numFmtId="0" fontId="44" fillId="15" borderId="0" applyNumberFormat="0" applyBorder="0" applyAlignment="0" applyProtection="0"/>
    <xf numFmtId="0" fontId="45" fillId="16" borderId="1" applyNumberFormat="0" applyAlignment="0" applyProtection="0"/>
    <xf numFmtId="0" fontId="46" fillId="17" borderId="2" applyNumberFormat="0" applyAlignment="0" applyProtection="0"/>
    <xf numFmtId="0" fontId="47" fillId="0" borderId="0" applyNumberFormat="0" applyFill="0" applyBorder="0" applyAlignment="0" applyProtection="0"/>
    <xf numFmtId="0" fontId="48" fillId="6" borderId="0" applyNumberFormat="0" applyBorder="0" applyAlignment="0" applyProtection="0"/>
    <xf numFmtId="0" fontId="49" fillId="0" borderId="3" applyNumberFormat="0" applyFill="0" applyAlignment="0" applyProtection="0"/>
    <xf numFmtId="0" fontId="50" fillId="0" borderId="4" applyNumberFormat="0" applyFill="0" applyAlignment="0" applyProtection="0"/>
    <xf numFmtId="0" fontId="51" fillId="0" borderId="5" applyNumberFormat="0" applyFill="0" applyAlignment="0" applyProtection="0"/>
    <xf numFmtId="0" fontId="51" fillId="0" borderId="0" applyNumberFormat="0" applyFill="0" applyBorder="0" applyAlignment="0" applyProtection="0"/>
    <xf numFmtId="0" fontId="52" fillId="7" borderId="1" applyNumberFormat="0" applyAlignment="0" applyProtection="0"/>
    <xf numFmtId="0" fontId="53" fillId="0" borderId="6" applyNumberFormat="0" applyFill="0" applyAlignment="0" applyProtection="0"/>
    <xf numFmtId="0" fontId="54" fillId="7" borderId="0" applyNumberFormat="0" applyBorder="0" applyAlignment="0" applyProtection="0"/>
    <xf numFmtId="0" fontId="4" fillId="0" borderId="0"/>
    <xf numFmtId="0" fontId="7" fillId="0" borderId="0"/>
    <xf numFmtId="0" fontId="7" fillId="4" borderId="7" applyNumberFormat="0" applyFont="0" applyAlignment="0" applyProtection="0"/>
    <xf numFmtId="0" fontId="55" fillId="16" borderId="8" applyNumberFormat="0" applyAlignment="0" applyProtection="0"/>
    <xf numFmtId="0" fontId="56" fillId="0" borderId="0" applyNumberFormat="0" applyFill="0" applyBorder="0" applyAlignment="0" applyProtection="0"/>
    <xf numFmtId="0" fontId="57" fillId="0" borderId="9" applyNumberFormat="0" applyFill="0" applyAlignment="0" applyProtection="0"/>
    <xf numFmtId="0" fontId="53" fillId="0" borderId="0" applyNumberFormat="0" applyFill="0" applyBorder="0" applyAlignment="0" applyProtection="0"/>
    <xf numFmtId="0" fontId="7" fillId="0" borderId="0"/>
    <xf numFmtId="0" fontId="4" fillId="0" borderId="0"/>
    <xf numFmtId="0" fontId="4" fillId="27" borderId="33" applyNumberFormat="0" applyFont="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49" borderId="0" applyNumberFormat="0" applyBorder="0" applyAlignment="0" applyProtection="0"/>
    <xf numFmtId="0" fontId="4" fillId="50" borderId="0" applyNumberFormat="0" applyBorder="0" applyAlignment="0" applyProtection="0"/>
    <xf numFmtId="0" fontId="7" fillId="0" borderId="0"/>
    <xf numFmtId="0" fontId="7" fillId="0" borderId="0"/>
    <xf numFmtId="0" fontId="7" fillId="0" borderId="0"/>
    <xf numFmtId="0" fontId="3" fillId="0" borderId="0"/>
    <xf numFmtId="0" fontId="2" fillId="0" borderId="0"/>
    <xf numFmtId="0" fontId="1" fillId="0" borderId="0"/>
  </cellStyleXfs>
  <cellXfs count="431">
    <xf numFmtId="0" fontId="0" fillId="0" borderId="0" xfId="0"/>
    <xf numFmtId="0" fontId="8" fillId="0" borderId="0" xfId="0" applyFont="1"/>
    <xf numFmtId="0" fontId="0" fillId="0" borderId="0" xfId="0" applyAlignment="1">
      <alignment horizontal="center"/>
    </xf>
    <xf numFmtId="0" fontId="12" fillId="0" borderId="0" xfId="0" applyFont="1"/>
    <xf numFmtId="0" fontId="15" fillId="0" borderId="0" xfId="0" applyFont="1" applyAlignment="1">
      <alignment horizontal="center"/>
    </xf>
    <xf numFmtId="0" fontId="15" fillId="0" borderId="0" xfId="0" applyFont="1"/>
    <xf numFmtId="0" fontId="18" fillId="0" borderId="0" xfId="0" applyFont="1"/>
    <xf numFmtId="0" fontId="14" fillId="0" borderId="0" xfId="0" applyFont="1"/>
    <xf numFmtId="0" fontId="0" fillId="0" borderId="0" xfId="0" applyBorder="1"/>
    <xf numFmtId="2" fontId="17" fillId="0" borderId="0" xfId="0" applyNumberFormat="1" applyFont="1" applyAlignment="1">
      <alignment horizontal="center"/>
    </xf>
    <xf numFmtId="0" fontId="11" fillId="0" borderId="0" xfId="0" applyFont="1" applyAlignment="1">
      <alignment horizontal="centerContinuous"/>
    </xf>
    <xf numFmtId="0" fontId="13" fillId="0" borderId="10" xfId="0" applyFont="1" applyBorder="1" applyAlignment="1">
      <alignment horizontal="center"/>
    </xf>
    <xf numFmtId="0" fontId="25" fillId="0" borderId="0" xfId="0" applyFont="1" applyFill="1" applyBorder="1" applyAlignment="1">
      <alignment horizontal="center"/>
    </xf>
    <xf numFmtId="0" fontId="21" fillId="18" borderId="11" xfId="0" applyFont="1" applyFill="1" applyBorder="1" applyAlignment="1">
      <alignment horizontal="center"/>
    </xf>
    <xf numFmtId="0" fontId="24" fillId="0" borderId="0" xfId="0" applyFont="1" applyFill="1" applyBorder="1"/>
    <xf numFmtId="0" fontId="19" fillId="0" borderId="0" xfId="0" applyFont="1"/>
    <xf numFmtId="0" fontId="27" fillId="0" borderId="0" xfId="0" applyFont="1"/>
    <xf numFmtId="0" fontId="29" fillId="0" borderId="0" xfId="0" applyFont="1" applyAlignment="1">
      <alignment horizontal="centerContinuous"/>
    </xf>
    <xf numFmtId="0" fontId="14" fillId="0" borderId="0" xfId="0" applyFont="1" applyFill="1" applyBorder="1"/>
    <xf numFmtId="0" fontId="19" fillId="0" borderId="0" xfId="0" applyFont="1" applyFill="1" applyBorder="1"/>
    <xf numFmtId="0" fontId="28" fillId="0" borderId="0" xfId="0" applyFont="1" applyBorder="1" applyAlignment="1">
      <alignment horizontal="center"/>
    </xf>
    <xf numFmtId="0" fontId="28" fillId="0" borderId="0" xfId="0" applyFont="1" applyFill="1" applyBorder="1" applyAlignment="1">
      <alignment horizontal="center"/>
    </xf>
    <xf numFmtId="0" fontId="30" fillId="0" borderId="0" xfId="0" applyFont="1" applyFill="1" applyBorder="1"/>
    <xf numFmtId="0" fontId="6" fillId="0" borderId="0" xfId="0" applyFont="1" applyFill="1" applyBorder="1"/>
    <xf numFmtId="0" fontId="28" fillId="0" borderId="0" xfId="0" applyFont="1" applyFill="1" applyBorder="1"/>
    <xf numFmtId="0" fontId="27" fillId="0" borderId="0" xfId="0" applyFont="1" applyFill="1" applyBorder="1"/>
    <xf numFmtId="0" fontId="7" fillId="0" borderId="0" xfId="0" applyFont="1" applyFill="1" applyBorder="1"/>
    <xf numFmtId="0" fontId="9" fillId="0" borderId="0" xfId="0" applyFont="1" applyFill="1" applyBorder="1"/>
    <xf numFmtId="0" fontId="24" fillId="0" borderId="11" xfId="0" applyFont="1" applyFill="1" applyBorder="1"/>
    <xf numFmtId="0" fontId="25" fillId="0" borderId="11" xfId="0" applyFont="1" applyFill="1" applyBorder="1" applyAlignment="1">
      <alignment horizontal="center"/>
    </xf>
    <xf numFmtId="0" fontId="26" fillId="0" borderId="0" xfId="0" applyFont="1" applyBorder="1" applyAlignment="1"/>
    <xf numFmtId="0" fontId="33" fillId="18" borderId="11" xfId="0" applyFont="1" applyFill="1" applyBorder="1" applyAlignment="1">
      <alignment horizontal="center"/>
    </xf>
    <xf numFmtId="0" fontId="34" fillId="0" borderId="0" xfId="0" applyFont="1"/>
    <xf numFmtId="0" fontId="34" fillId="0" borderId="0" xfId="0" applyFont="1" applyBorder="1"/>
    <xf numFmtId="0" fontId="37" fillId="18" borderId="11" xfId="0" applyFont="1" applyFill="1" applyBorder="1" applyAlignment="1">
      <alignment horizontal="center"/>
    </xf>
    <xf numFmtId="0" fontId="34" fillId="0" borderId="0" xfId="0" applyFont="1" applyBorder="1" applyAlignment="1">
      <alignment horizontal="center"/>
    </xf>
    <xf numFmtId="2" fontId="34" fillId="0" borderId="0" xfId="0" applyNumberFormat="1" applyFont="1" applyBorder="1" applyAlignment="1">
      <alignment horizontal="center"/>
    </xf>
    <xf numFmtId="0" fontId="21" fillId="18" borderId="13" xfId="0" applyFont="1" applyFill="1" applyBorder="1" applyAlignment="1">
      <alignment horizontal="center"/>
    </xf>
    <xf numFmtId="0" fontId="40" fillId="18" borderId="11" xfId="0" applyFont="1" applyFill="1" applyBorder="1" applyAlignment="1">
      <alignment horizontal="center"/>
    </xf>
    <xf numFmtId="0" fontId="21" fillId="18" borderId="16" xfId="0" applyFont="1" applyFill="1" applyBorder="1" applyAlignment="1">
      <alignment horizontal="center"/>
    </xf>
    <xf numFmtId="0" fontId="22" fillId="18" borderId="16" xfId="0" applyFont="1" applyFill="1" applyBorder="1" applyAlignment="1"/>
    <xf numFmtId="0" fontId="25" fillId="0" borderId="13" xfId="0" applyFont="1" applyFill="1" applyBorder="1" applyAlignment="1">
      <alignment horizontal="center"/>
    </xf>
    <xf numFmtId="0" fontId="22" fillId="18" borderId="16" xfId="0" applyFont="1" applyFill="1" applyBorder="1" applyAlignment="1">
      <alignment horizontal="center"/>
    </xf>
    <xf numFmtId="0" fontId="13" fillId="0" borderId="17" xfId="0" applyFont="1" applyFill="1" applyBorder="1"/>
    <xf numFmtId="2" fontId="0" fillId="0" borderId="0" xfId="0" applyNumberFormat="1" applyFill="1" applyBorder="1"/>
    <xf numFmtId="164" fontId="0" fillId="0" borderId="0" xfId="0" applyNumberFormat="1" applyBorder="1"/>
    <xf numFmtId="2" fontId="0" fillId="0" borderId="0" xfId="0" applyNumberFormat="1" applyBorder="1"/>
    <xf numFmtId="0" fontId="12" fillId="0" borderId="11" xfId="0" applyFont="1" applyFill="1" applyBorder="1" applyAlignment="1">
      <alignment horizontal="center"/>
    </xf>
    <xf numFmtId="0" fontId="58" fillId="18" borderId="16" xfId="0" applyFont="1" applyFill="1" applyBorder="1" applyAlignment="1">
      <alignment horizontal="center" vertical="center"/>
    </xf>
    <xf numFmtId="0" fontId="59" fillId="18" borderId="11" xfId="0" applyFont="1" applyFill="1" applyBorder="1" applyAlignment="1">
      <alignment horizontal="center"/>
    </xf>
    <xf numFmtId="2" fontId="59" fillId="18" borderId="11" xfId="0" applyNumberFormat="1" applyFont="1" applyFill="1" applyBorder="1" applyAlignment="1">
      <alignment horizontal="center"/>
    </xf>
    <xf numFmtId="0" fontId="60" fillId="18" borderId="16" xfId="0" applyFont="1" applyFill="1" applyBorder="1" applyAlignment="1">
      <alignment horizontal="center" vertical="center"/>
    </xf>
    <xf numFmtId="0" fontId="60" fillId="18" borderId="18" xfId="0" applyFont="1" applyFill="1" applyBorder="1" applyAlignment="1">
      <alignment horizontal="center" vertical="center"/>
    </xf>
    <xf numFmtId="0" fontId="58" fillId="18" borderId="11" xfId="0" applyFont="1" applyFill="1" applyBorder="1" applyAlignment="1">
      <alignment horizontal="center" vertical="center"/>
    </xf>
    <xf numFmtId="14" fontId="12" fillId="0" borderId="13" xfId="0" quotePrefix="1" applyNumberFormat="1" applyFont="1" applyFill="1" applyBorder="1" applyAlignment="1">
      <alignment horizontal="right"/>
    </xf>
    <xf numFmtId="2" fontId="10" fillId="0" borderId="11" xfId="0" applyNumberFormat="1" applyFont="1" applyFill="1" applyBorder="1" applyAlignment="1">
      <alignment horizontal="center"/>
    </xf>
    <xf numFmtId="0" fontId="7" fillId="0" borderId="16" xfId="0" applyFont="1" applyBorder="1" applyAlignment="1">
      <alignment horizontal="center"/>
    </xf>
    <xf numFmtId="0" fontId="7" fillId="0" borderId="0" xfId="0" applyFont="1" applyFill="1"/>
    <xf numFmtId="0" fontId="15" fillId="0" borderId="0" xfId="0" applyFont="1" applyBorder="1" applyAlignment="1">
      <alignment horizontal="center"/>
    </xf>
    <xf numFmtId="0" fontId="0" fillId="0" borderId="12" xfId="0" applyBorder="1"/>
    <xf numFmtId="0" fontId="20" fillId="18" borderId="11" xfId="0" applyFont="1" applyFill="1" applyBorder="1" applyAlignment="1">
      <alignment horizontal="center"/>
    </xf>
    <xf numFmtId="0" fontId="62" fillId="18" borderId="11" xfId="0" applyFont="1" applyFill="1" applyBorder="1" applyAlignment="1">
      <alignment horizontal="center"/>
    </xf>
    <xf numFmtId="0" fontId="13" fillId="0" borderId="10" xfId="0" applyFont="1" applyFill="1" applyBorder="1" applyAlignment="1">
      <alignment horizontal="center"/>
    </xf>
    <xf numFmtId="0" fontId="32" fillId="0" borderId="17" xfId="0" applyFont="1" applyFill="1" applyBorder="1"/>
    <xf numFmtId="2" fontId="64" fillId="0" borderId="16" xfId="0" applyNumberFormat="1" applyFont="1" applyFill="1" applyBorder="1" applyAlignment="1">
      <alignment horizontal="center" vertical="center"/>
    </xf>
    <xf numFmtId="2" fontId="64" fillId="0" borderId="18" xfId="0" applyNumberFormat="1" applyFont="1" applyFill="1" applyBorder="1" applyAlignment="1">
      <alignment horizontal="center" vertical="center"/>
    </xf>
    <xf numFmtId="2" fontId="0" fillId="0" borderId="0" xfId="0" applyNumberFormat="1" applyFill="1" applyBorder="1" applyAlignment="1">
      <alignment wrapText="1"/>
    </xf>
    <xf numFmtId="2" fontId="25" fillId="19" borderId="15" xfId="0" applyNumberFormat="1" applyFont="1" applyFill="1" applyBorder="1" applyAlignment="1">
      <alignment horizontal="right"/>
    </xf>
    <xf numFmtId="0" fontId="6" fillId="19" borderId="14" xfId="0" applyFont="1" applyFill="1" applyBorder="1"/>
    <xf numFmtId="2" fontId="6" fillId="19" borderId="14" xfId="0" applyNumberFormat="1" applyFont="1" applyFill="1" applyBorder="1"/>
    <xf numFmtId="0" fontId="17" fillId="19" borderId="14" xfId="0" applyFont="1" applyFill="1" applyBorder="1" applyAlignment="1">
      <alignment horizontal="left"/>
    </xf>
    <xf numFmtId="0" fontId="17" fillId="19" borderId="14" xfId="0" applyFont="1" applyFill="1" applyBorder="1" applyAlignment="1"/>
    <xf numFmtId="0" fontId="25" fillId="19" borderId="12" xfId="0" applyFont="1" applyFill="1" applyBorder="1" applyAlignment="1">
      <alignment horizontal="left"/>
    </xf>
    <xf numFmtId="0" fontId="6" fillId="19" borderId="12" xfId="0" applyFont="1" applyFill="1" applyBorder="1" applyAlignment="1">
      <alignment horizontal="center"/>
    </xf>
    <xf numFmtId="0" fontId="6" fillId="19" borderId="14" xfId="0" applyFont="1" applyFill="1" applyBorder="1" applyAlignment="1">
      <alignment horizontal="center"/>
    </xf>
    <xf numFmtId="2" fontId="6" fillId="19" borderId="14" xfId="0" applyNumberFormat="1" applyFont="1" applyFill="1" applyBorder="1" applyAlignment="1">
      <alignment horizontal="center"/>
    </xf>
    <xf numFmtId="0" fontId="6" fillId="18" borderId="16" xfId="0" applyFont="1" applyFill="1" applyBorder="1" applyAlignment="1">
      <alignment horizontal="center"/>
    </xf>
    <xf numFmtId="0" fontId="12" fillId="0" borderId="18" xfId="0" applyFont="1" applyBorder="1" applyAlignment="1">
      <alignment horizontal="center"/>
    </xf>
    <xf numFmtId="0" fontId="7" fillId="18" borderId="12" xfId="0" applyFont="1" applyFill="1" applyBorder="1"/>
    <xf numFmtId="0" fontId="7" fillId="18" borderId="14" xfId="0" applyFont="1" applyFill="1" applyBorder="1"/>
    <xf numFmtId="0" fontId="13" fillId="0" borderId="10" xfId="0" applyFont="1" applyFill="1" applyBorder="1"/>
    <xf numFmtId="0" fontId="19" fillId="19" borderId="12" xfId="0" applyFont="1" applyFill="1" applyBorder="1"/>
    <xf numFmtId="0" fontId="28" fillId="19" borderId="14" xfId="0" applyFont="1" applyFill="1" applyBorder="1" applyAlignment="1">
      <alignment horizontal="centerContinuous"/>
    </xf>
    <xf numFmtId="0" fontId="30" fillId="19" borderId="14" xfId="0" applyFont="1" applyFill="1" applyBorder="1"/>
    <xf numFmtId="0" fontId="30" fillId="0" borderId="0" xfId="0" applyFont="1"/>
    <xf numFmtId="0" fontId="30" fillId="0" borderId="17" xfId="0" applyFont="1" applyBorder="1" applyAlignment="1">
      <alignment horizontal="center"/>
    </xf>
    <xf numFmtId="0" fontId="65" fillId="0" borderId="0" xfId="0" applyFont="1"/>
    <xf numFmtId="0" fontId="30" fillId="19" borderId="12" xfId="0" applyFont="1" applyFill="1" applyBorder="1"/>
    <xf numFmtId="0" fontId="7" fillId="19" borderId="14" xfId="0" applyFont="1" applyFill="1" applyBorder="1"/>
    <xf numFmtId="0" fontId="30" fillId="0" borderId="17" xfId="0" applyFont="1" applyFill="1" applyBorder="1" applyAlignment="1"/>
    <xf numFmtId="0" fontId="65" fillId="0" borderId="17" xfId="0" applyFont="1" applyFill="1" applyBorder="1" applyAlignment="1"/>
    <xf numFmtId="0" fontId="30" fillId="0" borderId="13" xfId="0" applyFont="1" applyBorder="1"/>
    <xf numFmtId="0" fontId="30" fillId="0" borderId="16" xfId="0" applyFont="1" applyBorder="1"/>
    <xf numFmtId="0" fontId="30" fillId="0" borderId="0" xfId="0" applyFont="1" applyBorder="1"/>
    <xf numFmtId="0" fontId="30" fillId="0" borderId="0" xfId="0" applyFont="1" applyFill="1"/>
    <xf numFmtId="0" fontId="65" fillId="0" borderId="17" xfId="0" applyFont="1" applyFill="1" applyBorder="1" applyAlignment="1">
      <alignment horizontal="center"/>
    </xf>
    <xf numFmtId="0" fontId="30" fillId="0" borderId="11" xfId="0" applyFont="1" applyBorder="1" applyAlignment="1">
      <alignment horizontal="center"/>
    </xf>
    <xf numFmtId="0" fontId="30" fillId="0" borderId="0" xfId="0" applyFont="1" applyBorder="1" applyAlignment="1">
      <alignment horizontal="center"/>
    </xf>
    <xf numFmtId="0" fontId="30" fillId="0" borderId="16" xfId="0" applyFont="1" applyBorder="1" applyAlignment="1">
      <alignment horizontal="center"/>
    </xf>
    <xf numFmtId="0" fontId="32" fillId="0" borderId="16" xfId="0" applyFont="1" applyBorder="1"/>
    <xf numFmtId="0" fontId="13" fillId="0" borderId="10" xfId="0" applyFont="1" applyBorder="1"/>
    <xf numFmtId="0" fontId="32" fillId="0" borderId="10" xfId="0" applyFont="1" applyBorder="1"/>
    <xf numFmtId="0" fontId="13" fillId="0" borderId="13" xfId="0" applyFont="1" applyBorder="1"/>
    <xf numFmtId="0" fontId="66" fillId="18" borderId="11" xfId="0" applyFont="1" applyFill="1" applyBorder="1" applyAlignment="1">
      <alignment horizontal="center" vertical="center"/>
    </xf>
    <xf numFmtId="0" fontId="66" fillId="18" borderId="16" xfId="0" applyFont="1" applyFill="1" applyBorder="1" applyAlignment="1">
      <alignment horizontal="center" vertical="center"/>
    </xf>
    <xf numFmtId="0" fontId="12" fillId="0" borderId="11" xfId="0" applyFont="1" applyBorder="1"/>
    <xf numFmtId="0" fontId="64" fillId="0" borderId="16" xfId="0" applyFont="1" applyFill="1" applyBorder="1" applyAlignment="1">
      <alignment horizontal="left" vertical="center"/>
    </xf>
    <xf numFmtId="0" fontId="21" fillId="18" borderId="11" xfId="0" applyFont="1" applyFill="1" applyBorder="1" applyAlignment="1"/>
    <xf numFmtId="0" fontId="22" fillId="18" borderId="11" xfId="0" applyFont="1" applyFill="1" applyBorder="1" applyAlignment="1"/>
    <xf numFmtId="0" fontId="22" fillId="18" borderId="11" xfId="0" applyFont="1" applyFill="1" applyBorder="1" applyAlignment="1">
      <alignment horizontal="center"/>
    </xf>
    <xf numFmtId="0" fontId="23" fillId="18" borderId="16" xfId="0" applyFont="1" applyFill="1" applyBorder="1" applyAlignment="1">
      <alignment horizontal="center"/>
    </xf>
    <xf numFmtId="0" fontId="27" fillId="0" borderId="0" xfId="0" applyFont="1" applyBorder="1"/>
    <xf numFmtId="0" fontId="37" fillId="18" borderId="16" xfId="0" applyFont="1" applyFill="1" applyBorder="1" applyAlignment="1">
      <alignment horizontal="center"/>
    </xf>
    <xf numFmtId="15" fontId="12" fillId="0" borderId="13" xfId="0" quotePrefix="1" applyNumberFormat="1" applyFont="1" applyFill="1" applyBorder="1" applyAlignment="1">
      <alignment horizontal="center" vertical="center"/>
    </xf>
    <xf numFmtId="0" fontId="38" fillId="18" borderId="16" xfId="0" applyFont="1" applyFill="1" applyBorder="1" applyAlignment="1">
      <alignment horizontal="center"/>
    </xf>
    <xf numFmtId="2" fontId="0" fillId="0" borderId="0" xfId="0" applyNumberFormat="1"/>
    <xf numFmtId="2" fontId="25" fillId="0" borderId="0" xfId="0" applyNumberFormat="1" applyFont="1" applyFill="1" applyBorder="1" applyAlignment="1">
      <alignment horizontal="left"/>
    </xf>
    <xf numFmtId="1" fontId="25" fillId="0" borderId="0" xfId="0" applyNumberFormat="1" applyFont="1" applyFill="1" applyBorder="1" applyAlignment="1">
      <alignment horizontal="left"/>
    </xf>
    <xf numFmtId="0" fontId="24" fillId="0" borderId="0" xfId="0" applyFont="1" applyFill="1" applyBorder="1" applyAlignment="1">
      <alignment horizontal="left"/>
    </xf>
    <xf numFmtId="0" fontId="30" fillId="0" borderId="0" xfId="0" applyFont="1" applyBorder="1" applyAlignment="1">
      <alignment horizontal="left"/>
    </xf>
    <xf numFmtId="0" fontId="68" fillId="18" borderId="19" xfId="0" applyFont="1" applyFill="1" applyBorder="1"/>
    <xf numFmtId="0" fontId="68" fillId="18" borderId="15" xfId="0" applyFont="1" applyFill="1" applyBorder="1"/>
    <xf numFmtId="2" fontId="7" fillId="0" borderId="0" xfId="0" applyNumberFormat="1" applyFont="1" applyFill="1"/>
    <xf numFmtId="2" fontId="10" fillId="0" borderId="0" xfId="131" applyNumberFormat="1" applyFont="1"/>
    <xf numFmtId="0" fontId="21" fillId="18" borderId="16" xfId="0" applyFont="1" applyFill="1" applyBorder="1" applyAlignment="1">
      <alignment horizontal="center"/>
    </xf>
    <xf numFmtId="0" fontId="21" fillId="18" borderId="13" xfId="0" applyFont="1" applyFill="1" applyBorder="1" applyAlignment="1">
      <alignment horizontal="center"/>
    </xf>
    <xf numFmtId="1" fontId="24" fillId="0" borderId="0" xfId="0" applyNumberFormat="1" applyFont="1" applyFill="1" applyBorder="1" applyAlignment="1">
      <alignment horizontal="left"/>
    </xf>
    <xf numFmtId="0" fontId="0" fillId="0" borderId="35" xfId="0" applyBorder="1" applyAlignment="1">
      <alignment wrapText="1"/>
    </xf>
    <xf numFmtId="2" fontId="25" fillId="0" borderId="13" xfId="0" applyNumberFormat="1" applyFont="1" applyFill="1" applyBorder="1" applyAlignment="1">
      <alignment horizontal="right"/>
    </xf>
    <xf numFmtId="1" fontId="25" fillId="0" borderId="13" xfId="0" applyNumberFormat="1" applyFont="1" applyFill="1" applyBorder="1" applyAlignment="1">
      <alignment horizontal="right"/>
    </xf>
    <xf numFmtId="2" fontId="25" fillId="0" borderId="20" xfId="0" applyNumberFormat="1" applyFont="1" applyFill="1" applyBorder="1" applyAlignment="1">
      <alignment horizontal="right"/>
    </xf>
    <xf numFmtId="2" fontId="25" fillId="0" borderId="19" xfId="0" applyNumberFormat="1" applyFont="1" applyFill="1" applyBorder="1" applyAlignment="1">
      <alignment horizontal="right"/>
    </xf>
    <xf numFmtId="1" fontId="25" fillId="0" borderId="19" xfId="0" applyNumberFormat="1" applyFont="1" applyFill="1" applyBorder="1" applyAlignment="1">
      <alignment horizontal="right"/>
    </xf>
    <xf numFmtId="2" fontId="25" fillId="0" borderId="14" xfId="0" applyNumberFormat="1" applyFont="1" applyFill="1" applyBorder="1" applyAlignment="1">
      <alignment horizontal="right"/>
    </xf>
    <xf numFmtId="1" fontId="25" fillId="0" borderId="14" xfId="0" applyNumberFormat="1" applyFont="1" applyFill="1" applyBorder="1" applyAlignment="1">
      <alignment horizontal="right"/>
    </xf>
    <xf numFmtId="0" fontId="24" fillId="0" borderId="15" xfId="0" applyFont="1" applyFill="1" applyBorder="1" applyAlignment="1">
      <alignment horizontal="right"/>
    </xf>
    <xf numFmtId="0" fontId="30" fillId="0" borderId="11" xfId="0" applyFont="1" applyBorder="1" applyAlignment="1">
      <alignment horizontal="right"/>
    </xf>
    <xf numFmtId="1" fontId="24" fillId="0" borderId="21" xfId="0" applyNumberFormat="1" applyFont="1" applyFill="1" applyBorder="1" applyAlignment="1">
      <alignment horizontal="right"/>
    </xf>
    <xf numFmtId="0" fontId="21" fillId="18" borderId="16" xfId="0" applyFont="1" applyFill="1" applyBorder="1" applyAlignment="1">
      <alignment horizontal="center"/>
    </xf>
    <xf numFmtId="0" fontId="21" fillId="18" borderId="13" xfId="0" applyFont="1" applyFill="1" applyBorder="1" applyAlignment="1">
      <alignment horizontal="center"/>
    </xf>
    <xf numFmtId="0" fontId="7" fillId="18" borderId="19" xfId="0" applyFont="1" applyFill="1" applyBorder="1"/>
    <xf numFmtId="0" fontId="70" fillId="0" borderId="35" xfId="0" applyFont="1" applyBorder="1" applyAlignment="1">
      <alignment horizontal="center" wrapText="1"/>
    </xf>
    <xf numFmtId="0" fontId="12" fillId="0" borderId="11" xfId="0" applyFont="1" applyBorder="1" applyAlignment="1">
      <alignment horizontal="center"/>
    </xf>
    <xf numFmtId="0" fontId="70" fillId="0" borderId="35" xfId="0" applyFont="1" applyBorder="1" applyAlignment="1">
      <alignment wrapText="1"/>
    </xf>
    <xf numFmtId="0" fontId="12" fillId="0" borderId="16" xfId="0" applyFont="1" applyBorder="1" applyAlignment="1">
      <alignment horizontal="center"/>
    </xf>
    <xf numFmtId="0" fontId="12" fillId="0" borderId="16" xfId="0" applyFont="1" applyBorder="1"/>
    <xf numFmtId="0" fontId="32" fillId="0" borderId="16" xfId="0" applyFont="1" applyFill="1" applyBorder="1"/>
    <xf numFmtId="0" fontId="32" fillId="0" borderId="10" xfId="0" applyFont="1" applyFill="1" applyBorder="1"/>
    <xf numFmtId="1" fontId="7" fillId="0" borderId="0" xfId="0" applyNumberFormat="1" applyFont="1" applyFill="1"/>
    <xf numFmtId="0" fontId="13" fillId="0" borderId="13" xfId="0" applyFont="1" applyFill="1" applyBorder="1"/>
    <xf numFmtId="0" fontId="32" fillId="18" borderId="12" xfId="0" applyFont="1" applyFill="1" applyBorder="1" applyAlignment="1">
      <alignment horizontal="left"/>
    </xf>
    <xf numFmtId="0" fontId="91" fillId="18" borderId="14" xfId="0" applyFont="1" applyFill="1" applyBorder="1"/>
    <xf numFmtId="0" fontId="91" fillId="18" borderId="19" xfId="0" applyFont="1" applyFill="1" applyBorder="1"/>
    <xf numFmtId="2" fontId="92" fillId="18" borderId="21" xfId="0" applyNumberFormat="1" applyFont="1" applyFill="1" applyBorder="1"/>
    <xf numFmtId="165" fontId="0" fillId="0" borderId="11" xfId="0" applyNumberFormat="1" applyBorder="1"/>
    <xf numFmtId="2" fontId="0" fillId="0" borderId="11" xfId="0" applyNumberFormat="1" applyBorder="1"/>
    <xf numFmtId="0" fontId="17" fillId="20" borderId="11" xfId="0" applyFont="1" applyFill="1" applyBorder="1"/>
    <xf numFmtId="2" fontId="6" fillId="20" borderId="16" xfId="0" applyNumberFormat="1" applyFont="1" applyFill="1" applyBorder="1"/>
    <xf numFmtId="2" fontId="6" fillId="20" borderId="10" xfId="0" applyNumberFormat="1" applyFont="1" applyFill="1" applyBorder="1"/>
    <xf numFmtId="1" fontId="6" fillId="20" borderId="10" xfId="0" applyNumberFormat="1" applyFont="1" applyFill="1" applyBorder="1"/>
    <xf numFmtId="0" fontId="32" fillId="18" borderId="11" xfId="0" applyFont="1" applyFill="1" applyBorder="1" applyAlignment="1">
      <alignment horizontal="left" vertical="center"/>
    </xf>
    <xf numFmtId="0" fontId="0" fillId="18" borderId="14" xfId="0" applyFont="1" applyFill="1" applyBorder="1"/>
    <xf numFmtId="2" fontId="0" fillId="18" borderId="14" xfId="0" applyNumberFormat="1" applyFont="1" applyFill="1" applyBorder="1"/>
    <xf numFmtId="2" fontId="0" fillId="18" borderId="15" xfId="0" applyNumberFormat="1" applyFont="1" applyFill="1" applyBorder="1"/>
    <xf numFmtId="2" fontId="0" fillId="18" borderId="19" xfId="0" applyNumberFormat="1" applyFont="1" applyFill="1" applyBorder="1"/>
    <xf numFmtId="0" fontId="0" fillId="0" borderId="0" xfId="0" applyFont="1" applyFill="1"/>
    <xf numFmtId="0" fontId="0" fillId="18" borderId="10" xfId="0" applyFont="1" applyFill="1" applyBorder="1" applyAlignment="1"/>
    <xf numFmtId="0" fontId="0" fillId="18" borderId="13" xfId="0" applyFont="1" applyFill="1" applyBorder="1" applyAlignment="1"/>
    <xf numFmtId="0" fontId="13" fillId="20" borderId="11" xfId="0" applyFont="1" applyFill="1" applyBorder="1" applyAlignment="1">
      <alignment horizontal="center"/>
    </xf>
    <xf numFmtId="0" fontId="32" fillId="20" borderId="11" xfId="0" applyFont="1" applyFill="1" applyBorder="1"/>
    <xf numFmtId="2" fontId="6" fillId="20" borderId="11" xfId="0" applyNumberFormat="1" applyFont="1" applyFill="1" applyBorder="1"/>
    <xf numFmtId="0" fontId="13" fillId="20" borderId="11" xfId="0" applyFont="1" applyFill="1" applyBorder="1"/>
    <xf numFmtId="2" fontId="17" fillId="20" borderId="11" xfId="0" applyNumberFormat="1" applyFont="1" applyFill="1" applyBorder="1" applyAlignment="1">
      <alignment horizontal="center"/>
    </xf>
    <xf numFmtId="0" fontId="94" fillId="0" borderId="35" xfId="0" applyFont="1" applyBorder="1" applyAlignment="1">
      <alignment wrapText="1"/>
    </xf>
    <xf numFmtId="0" fontId="17" fillId="0" borderId="35" xfId="0" applyFont="1" applyBorder="1" applyAlignment="1">
      <alignment wrapText="1"/>
    </xf>
    <xf numFmtId="2" fontId="17" fillId="0" borderId="35" xfId="0" applyNumberFormat="1" applyFont="1" applyBorder="1" applyAlignment="1">
      <alignment horizontal="center" wrapText="1"/>
    </xf>
    <xf numFmtId="0" fontId="21" fillId="18" borderId="11" xfId="0" applyFont="1" applyFill="1" applyBorder="1" applyAlignment="1">
      <alignment horizontal="center" vertical="center"/>
    </xf>
    <xf numFmtId="0" fontId="96" fillId="0" borderId="0" xfId="176" applyFont="1" applyFill="1" applyBorder="1" applyAlignment="1"/>
    <xf numFmtId="0" fontId="7" fillId="0" borderId="0" xfId="176" applyFont="1" applyFill="1"/>
    <xf numFmtId="0" fontId="12" fillId="0" borderId="0" xfId="176" applyFont="1" applyFill="1" applyBorder="1"/>
    <xf numFmtId="0" fontId="7" fillId="0" borderId="0" xfId="176" applyFont="1" applyFill="1" applyBorder="1"/>
    <xf numFmtId="0" fontId="98" fillId="0" borderId="0" xfId="176" applyFont="1" applyFill="1"/>
    <xf numFmtId="0" fontId="90" fillId="0" borderId="0" xfId="176" applyFont="1" applyFill="1"/>
    <xf numFmtId="2" fontId="7" fillId="0" borderId="0" xfId="176" applyNumberFormat="1" applyFont="1" applyFill="1"/>
    <xf numFmtId="0" fontId="93" fillId="0" borderId="0" xfId="176" applyFont="1" applyFill="1"/>
    <xf numFmtId="0" fontId="12" fillId="0" borderId="0" xfId="176" applyFont="1" applyFill="1"/>
    <xf numFmtId="0" fontId="12" fillId="0" borderId="0" xfId="176" applyFont="1" applyFill="1" applyAlignment="1">
      <alignment horizontal="left"/>
    </xf>
    <xf numFmtId="2" fontId="12" fillId="0" borderId="0" xfId="176" applyNumberFormat="1" applyFont="1" applyFill="1"/>
    <xf numFmtId="166" fontId="12" fillId="0" borderId="0" xfId="176" applyNumberFormat="1" applyFont="1" applyFill="1"/>
    <xf numFmtId="0" fontId="12" fillId="0" borderId="0" xfId="176" applyFont="1" applyFill="1" applyAlignment="1">
      <alignment horizontal="right"/>
    </xf>
    <xf numFmtId="0" fontId="12" fillId="0" borderId="0" xfId="176" applyFont="1" applyFill="1" applyAlignment="1">
      <alignment horizontal="center"/>
    </xf>
    <xf numFmtId="16" fontId="12" fillId="0" borderId="0" xfId="176" applyNumberFormat="1" applyFont="1" applyFill="1"/>
    <xf numFmtId="16" fontId="7" fillId="0" borderId="0" xfId="176" applyNumberFormat="1" applyFont="1" applyFill="1"/>
    <xf numFmtId="15" fontId="7" fillId="0" borderId="0" xfId="176" applyNumberFormat="1" applyFont="1" applyFill="1"/>
    <xf numFmtId="0" fontId="100" fillId="0" borderId="0" xfId="176" applyFont="1" applyFill="1"/>
    <xf numFmtId="0" fontId="101" fillId="0" borderId="0" xfId="176" applyFont="1" applyFill="1"/>
    <xf numFmtId="0" fontId="102" fillId="0" borderId="0" xfId="176" applyFont="1" applyFill="1"/>
    <xf numFmtId="0" fontId="103" fillId="0" borderId="0" xfId="176" applyFont="1" applyFill="1"/>
    <xf numFmtId="0" fontId="104" fillId="0" borderId="0" xfId="176" applyFont="1" applyFill="1"/>
    <xf numFmtId="43" fontId="0" fillId="0" borderId="11" xfId="178" applyFont="1" applyBorder="1"/>
    <xf numFmtId="0" fontId="12" fillId="0" borderId="18" xfId="0" applyFont="1" applyBorder="1"/>
    <xf numFmtId="0" fontId="64" fillId="0" borderId="23" xfId="0" applyFont="1" applyFill="1" applyBorder="1" applyAlignment="1">
      <alignment horizontal="left" vertical="center"/>
    </xf>
    <xf numFmtId="2" fontId="93" fillId="20" borderId="22" xfId="0" applyNumberFormat="1" applyFont="1" applyFill="1" applyBorder="1"/>
    <xf numFmtId="2" fontId="93" fillId="20" borderId="10" xfId="0" applyNumberFormat="1" applyFont="1" applyFill="1" applyBorder="1"/>
    <xf numFmtId="0" fontId="13" fillId="20" borderId="17" xfId="0" applyFont="1" applyFill="1" applyBorder="1"/>
    <xf numFmtId="2" fontId="0" fillId="20" borderId="22" xfId="0" applyNumberFormat="1" applyFont="1" applyFill="1" applyBorder="1"/>
    <xf numFmtId="2" fontId="0" fillId="20" borderId="17" xfId="0" applyNumberFormat="1" applyFont="1" applyFill="1" applyBorder="1"/>
    <xf numFmtId="2" fontId="6" fillId="20" borderId="22" xfId="0" applyNumberFormat="1" applyFont="1" applyFill="1" applyBorder="1"/>
    <xf numFmtId="2" fontId="0" fillId="20" borderId="10" xfId="0" applyNumberFormat="1" applyFont="1" applyFill="1" applyBorder="1"/>
    <xf numFmtId="1" fontId="6" fillId="20" borderId="22" xfId="0" applyNumberFormat="1" applyFont="1" applyFill="1" applyBorder="1"/>
    <xf numFmtId="0" fontId="6" fillId="20" borderId="10" xfId="0" applyFont="1" applyFill="1" applyBorder="1"/>
    <xf numFmtId="0" fontId="6" fillId="20" borderId="22" xfId="0" applyFont="1" applyFill="1" applyBorder="1"/>
    <xf numFmtId="2" fontId="6" fillId="20" borderId="10" xfId="0" applyNumberFormat="1" applyFont="1" applyFill="1" applyBorder="1" applyAlignment="1">
      <alignment horizontal="right"/>
    </xf>
    <xf numFmtId="0" fontId="0" fillId="20" borderId="22" xfId="0" applyFont="1" applyFill="1" applyBorder="1" applyAlignment="1">
      <alignment horizontal="right"/>
    </xf>
    <xf numFmtId="2" fontId="0" fillId="20" borderId="10" xfId="0" applyNumberFormat="1" applyFont="1" applyFill="1" applyBorder="1" applyAlignment="1">
      <alignment horizontal="right"/>
    </xf>
    <xf numFmtId="2" fontId="6" fillId="20" borderId="13" xfId="0" applyNumberFormat="1" applyFont="1" applyFill="1" applyBorder="1" applyAlignment="1">
      <alignment horizontal="right"/>
    </xf>
    <xf numFmtId="0" fontId="0" fillId="20" borderId="21" xfId="0" applyFont="1" applyFill="1" applyBorder="1" applyAlignment="1">
      <alignment horizontal="right"/>
    </xf>
    <xf numFmtId="2" fontId="0" fillId="20" borderId="13" xfId="0" applyNumberFormat="1" applyFont="1" applyFill="1" applyBorder="1" applyAlignment="1">
      <alignment horizontal="right"/>
    </xf>
    <xf numFmtId="2" fontId="6" fillId="20" borderId="13" xfId="0" applyNumberFormat="1" applyFont="1" applyFill="1" applyBorder="1"/>
    <xf numFmtId="2" fontId="6" fillId="20" borderId="24" xfId="0" applyNumberFormat="1" applyFont="1" applyFill="1" applyBorder="1"/>
    <xf numFmtId="2" fontId="6" fillId="20" borderId="23" xfId="0" applyNumberFormat="1" applyFont="1" applyFill="1" applyBorder="1"/>
    <xf numFmtId="2" fontId="6" fillId="20" borderId="0" xfId="0" applyNumberFormat="1" applyFont="1" applyFill="1" applyBorder="1"/>
    <xf numFmtId="1" fontId="0" fillId="20" borderId="10" xfId="0" applyNumberFormat="1" applyFont="1" applyFill="1" applyBorder="1"/>
    <xf numFmtId="2" fontId="6" fillId="20" borderId="17" xfId="0" applyNumberFormat="1" applyFont="1" applyFill="1" applyBorder="1"/>
    <xf numFmtId="0" fontId="0" fillId="20" borderId="10" xfId="0" applyFont="1" applyFill="1" applyBorder="1"/>
    <xf numFmtId="1" fontId="6" fillId="20" borderId="17" xfId="0" applyNumberFormat="1" applyFont="1" applyFill="1" applyBorder="1"/>
    <xf numFmtId="0" fontId="0" fillId="20" borderId="17" xfId="0" applyFont="1" applyFill="1" applyBorder="1"/>
    <xf numFmtId="0" fontId="0" fillId="20" borderId="17" xfId="0" applyFont="1" applyFill="1" applyBorder="1" applyAlignment="1">
      <alignment horizontal="right"/>
    </xf>
    <xf numFmtId="2" fontId="6" fillId="20" borderId="22" xfId="0" applyNumberFormat="1" applyFont="1" applyFill="1" applyBorder="1" applyAlignment="1">
      <alignment horizontal="right"/>
    </xf>
    <xf numFmtId="0" fontId="0" fillId="0" borderId="37" xfId="0" applyBorder="1"/>
    <xf numFmtId="0" fontId="0" fillId="0" borderId="11" xfId="0" applyBorder="1"/>
    <xf numFmtId="0" fontId="24" fillId="0" borderId="12" xfId="0" applyFont="1" applyFill="1" applyBorder="1"/>
    <xf numFmtId="0" fontId="21" fillId="18" borderId="18" xfId="0" applyFont="1" applyFill="1" applyBorder="1" applyAlignment="1">
      <alignment horizontal="center"/>
    </xf>
    <xf numFmtId="0" fontId="21" fillId="18" borderId="16" xfId="0" applyFont="1" applyFill="1" applyBorder="1" applyAlignment="1">
      <alignment horizontal="center"/>
    </xf>
    <xf numFmtId="0" fontId="21" fillId="18" borderId="13" xfId="0" applyFont="1" applyFill="1" applyBorder="1" applyAlignment="1">
      <alignment horizontal="center"/>
    </xf>
    <xf numFmtId="0" fontId="21" fillId="18" borderId="16" xfId="0" applyFont="1" applyFill="1" applyBorder="1" applyAlignment="1">
      <alignment horizontal="center"/>
    </xf>
    <xf numFmtId="0" fontId="0" fillId="0" borderId="38" xfId="0" applyBorder="1" applyAlignment="1">
      <alignment wrapText="1"/>
    </xf>
    <xf numFmtId="0" fontId="30" fillId="19" borderId="20" xfId="0" applyFont="1" applyFill="1" applyBorder="1"/>
    <xf numFmtId="0" fontId="17" fillId="19" borderId="19" xfId="0" applyFont="1" applyFill="1" applyBorder="1" applyAlignment="1">
      <alignment wrapText="1"/>
    </xf>
    <xf numFmtId="0" fontId="6" fillId="19" borderId="19" xfId="0" applyFont="1" applyFill="1" applyBorder="1"/>
    <xf numFmtId="2" fontId="6" fillId="19" borderId="19" xfId="0" applyNumberFormat="1" applyFont="1" applyFill="1" applyBorder="1"/>
    <xf numFmtId="0" fontId="7" fillId="19" borderId="19" xfId="0" applyFont="1" applyFill="1" applyBorder="1"/>
    <xf numFmtId="2" fontId="25" fillId="19" borderId="21" xfId="0" applyNumberFormat="1" applyFont="1" applyFill="1" applyBorder="1" applyAlignment="1">
      <alignment horizontal="right"/>
    </xf>
    <xf numFmtId="0" fontId="30" fillId="0" borderId="20" xfId="0" applyFont="1" applyBorder="1" applyAlignment="1">
      <alignment horizontal="center"/>
    </xf>
    <xf numFmtId="0" fontId="0" fillId="0" borderId="39" xfId="0" applyBorder="1" applyAlignment="1">
      <alignment wrapText="1"/>
    </xf>
    <xf numFmtId="0" fontId="0" fillId="0" borderId="40" xfId="0" applyBorder="1" applyAlignment="1">
      <alignment wrapText="1"/>
    </xf>
    <xf numFmtId="0" fontId="30" fillId="0" borderId="11" xfId="0" applyFont="1" applyBorder="1"/>
    <xf numFmtId="2" fontId="25" fillId="0" borderId="11" xfId="0" applyNumberFormat="1" applyFont="1" applyFill="1" applyBorder="1" applyAlignment="1">
      <alignment horizontal="left"/>
    </xf>
    <xf numFmtId="1" fontId="25" fillId="0" borderId="11" xfId="0" applyNumberFormat="1" applyFont="1" applyFill="1" applyBorder="1" applyAlignment="1">
      <alignment horizontal="left"/>
    </xf>
    <xf numFmtId="0" fontId="24" fillId="0" borderId="11" xfId="0" applyFont="1" applyFill="1" applyBorder="1" applyAlignment="1">
      <alignment horizontal="left"/>
    </xf>
    <xf numFmtId="0" fontId="30" fillId="0" borderId="11" xfId="0" applyFont="1" applyBorder="1" applyAlignment="1">
      <alignment horizontal="left"/>
    </xf>
    <xf numFmtId="2" fontId="6" fillId="0" borderId="13" xfId="0" applyNumberFormat="1" applyFont="1" applyFill="1" applyBorder="1" applyAlignment="1">
      <alignment horizontal="right"/>
    </xf>
    <xf numFmtId="1" fontId="6" fillId="0" borderId="13" xfId="0" applyNumberFormat="1" applyFont="1" applyFill="1" applyBorder="1" applyAlignment="1">
      <alignment horizontal="right"/>
    </xf>
    <xf numFmtId="2" fontId="6" fillId="0" borderId="12" xfId="0" applyNumberFormat="1" applyFont="1" applyFill="1" applyBorder="1" applyAlignment="1">
      <alignment horizontal="right"/>
    </xf>
    <xf numFmtId="0" fontId="0" fillId="0" borderId="15" xfId="0" applyFont="1" applyFill="1" applyBorder="1" applyAlignment="1">
      <alignment horizontal="right"/>
    </xf>
    <xf numFmtId="2" fontId="0" fillId="0" borderId="13" xfId="0" applyNumberFormat="1" applyFont="1" applyFill="1" applyBorder="1" applyAlignment="1">
      <alignment horizontal="right"/>
    </xf>
    <xf numFmtId="1" fontId="0" fillId="0" borderId="13" xfId="0" applyNumberFormat="1" applyFont="1" applyFill="1" applyBorder="1" applyAlignment="1">
      <alignment horizontal="right"/>
    </xf>
    <xf numFmtId="2" fontId="0" fillId="0" borderId="12" xfId="0" applyNumberFormat="1" applyFont="1" applyFill="1" applyBorder="1" applyAlignment="1">
      <alignment horizontal="right"/>
    </xf>
    <xf numFmtId="2" fontId="0" fillId="0" borderId="14" xfId="0" applyNumberFormat="1" applyFont="1" applyFill="1" applyBorder="1" applyAlignment="1">
      <alignment horizontal="right"/>
    </xf>
    <xf numFmtId="1" fontId="0" fillId="0" borderId="14" xfId="0" applyNumberFormat="1" applyFont="1" applyFill="1" applyBorder="1" applyAlignment="1">
      <alignment horizontal="right"/>
    </xf>
    <xf numFmtId="2" fontId="6" fillId="0" borderId="11" xfId="0" applyNumberFormat="1" applyFont="1" applyFill="1" applyBorder="1" applyAlignment="1">
      <alignment horizontal="left"/>
    </xf>
    <xf numFmtId="1" fontId="6" fillId="0" borderId="11" xfId="0" applyNumberFormat="1" applyFont="1" applyFill="1" applyBorder="1" applyAlignment="1">
      <alignment horizontal="left"/>
    </xf>
    <xf numFmtId="0" fontId="0" fillId="0" borderId="13" xfId="0" applyFont="1" applyBorder="1"/>
    <xf numFmtId="0" fontId="17" fillId="19" borderId="19" xfId="0" applyFont="1" applyFill="1" applyBorder="1"/>
    <xf numFmtId="0" fontId="19" fillId="19" borderId="19" xfId="0" applyFont="1" applyFill="1" applyBorder="1"/>
    <xf numFmtId="0" fontId="0" fillId="0" borderId="0" xfId="0" applyBorder="1" applyAlignment="1">
      <alignment wrapText="1"/>
    </xf>
    <xf numFmtId="0" fontId="0" fillId="0" borderId="11" xfId="0" applyBorder="1" applyAlignment="1">
      <alignment wrapText="1"/>
    </xf>
    <xf numFmtId="0" fontId="25" fillId="19" borderId="18" xfId="0" applyFont="1" applyFill="1" applyBorder="1" applyAlignment="1">
      <alignment horizontal="left"/>
    </xf>
    <xf numFmtId="0" fontId="0" fillId="0" borderId="10" xfId="0" applyFont="1" applyFill="1" applyBorder="1" applyAlignment="1">
      <alignment horizontal="center"/>
    </xf>
    <xf numFmtId="0" fontId="17" fillId="0" borderId="0" xfId="0" applyFont="1"/>
    <xf numFmtId="2" fontId="70" fillId="0" borderId="11" xfId="179" applyNumberFormat="1" applyFont="1" applyBorder="1" applyAlignment="1">
      <alignment horizontal="center"/>
    </xf>
    <xf numFmtId="4" fontId="0" fillId="20" borderId="10" xfId="0" applyNumberFormat="1" applyFont="1" applyFill="1" applyBorder="1" applyAlignment="1">
      <alignment wrapText="1"/>
    </xf>
    <xf numFmtId="4" fontId="0" fillId="20" borderId="22" xfId="0" applyNumberFormat="1" applyFont="1" applyFill="1" applyBorder="1" applyAlignment="1">
      <alignment wrapText="1"/>
    </xf>
    <xf numFmtId="0" fontId="0" fillId="20" borderId="22" xfId="0" applyFont="1" applyFill="1" applyBorder="1"/>
    <xf numFmtId="0" fontId="0" fillId="20" borderId="10" xfId="0" applyFont="1" applyFill="1" applyBorder="1" applyAlignment="1">
      <alignment horizontal="right"/>
    </xf>
    <xf numFmtId="2" fontId="0" fillId="20" borderId="22" xfId="0" applyNumberFormat="1" applyFont="1" applyFill="1" applyBorder="1" applyAlignment="1">
      <alignment horizontal="right"/>
    </xf>
    <xf numFmtId="4" fontId="7" fillId="20" borderId="10" xfId="0" applyNumberFormat="1" applyFont="1" applyFill="1" applyBorder="1" applyAlignment="1">
      <alignment horizontal="right" vertical="center" wrapText="1"/>
    </xf>
    <xf numFmtId="0" fontId="7" fillId="20" borderId="10" xfId="0" applyFont="1" applyFill="1" applyBorder="1" applyAlignment="1">
      <alignment horizontal="right" vertical="center" wrapText="1"/>
    </xf>
    <xf numFmtId="2" fontId="6" fillId="20" borderId="18" xfId="0" applyNumberFormat="1" applyFont="1" applyFill="1" applyBorder="1"/>
    <xf numFmtId="4" fontId="0" fillId="0" borderId="23" xfId="0" applyNumberFormat="1" applyBorder="1"/>
    <xf numFmtId="4" fontId="0" fillId="0" borderId="16" xfId="0" applyNumberFormat="1" applyBorder="1"/>
    <xf numFmtId="0" fontId="107" fillId="20" borderId="10" xfId="0" applyFont="1" applyFill="1" applyBorder="1"/>
    <xf numFmtId="2" fontId="107" fillId="20" borderId="10" xfId="0" applyNumberFormat="1" applyFont="1" applyFill="1" applyBorder="1"/>
    <xf numFmtId="0" fontId="107" fillId="20" borderId="22" xfId="0" applyFont="1" applyFill="1" applyBorder="1"/>
    <xf numFmtId="0" fontId="90" fillId="20" borderId="22" xfId="0" applyFont="1" applyFill="1" applyBorder="1" applyAlignment="1">
      <alignment horizontal="right"/>
    </xf>
    <xf numFmtId="2" fontId="90" fillId="20" borderId="10" xfId="0" applyNumberFormat="1" applyFont="1" applyFill="1" applyBorder="1" applyAlignment="1">
      <alignment horizontal="right"/>
    </xf>
    <xf numFmtId="0" fontId="90" fillId="20" borderId="21" xfId="0" applyFont="1" applyFill="1" applyBorder="1" applyAlignment="1">
      <alignment horizontal="right"/>
    </xf>
    <xf numFmtId="4" fontId="0" fillId="0" borderId="22" xfId="0" applyNumberFormat="1" applyBorder="1" applyAlignment="1">
      <alignment wrapText="1"/>
    </xf>
    <xf numFmtId="0" fontId="0" fillId="0" borderId="22" xfId="0" applyBorder="1" applyAlignment="1">
      <alignment wrapText="1"/>
    </xf>
    <xf numFmtId="165" fontId="0" fillId="0" borderId="0" xfId="0" applyNumberFormat="1" applyBorder="1"/>
    <xf numFmtId="0" fontId="0" fillId="0" borderId="16" xfId="0" applyBorder="1"/>
    <xf numFmtId="0" fontId="0" fillId="0" borderId="15" xfId="0" applyBorder="1"/>
    <xf numFmtId="0" fontId="0" fillId="0" borderId="23" xfId="0" applyBorder="1"/>
    <xf numFmtId="43" fontId="0" fillId="0" borderId="0" xfId="178" applyFont="1" applyBorder="1"/>
    <xf numFmtId="43" fontId="0" fillId="0" borderId="0" xfId="0" applyNumberFormat="1" applyBorder="1"/>
    <xf numFmtId="0" fontId="0" fillId="20" borderId="11" xfId="0" applyFont="1" applyFill="1" applyBorder="1"/>
    <xf numFmtId="2" fontId="6" fillId="20" borderId="11" xfId="0" applyNumberFormat="1" applyFont="1" applyFill="1" applyBorder="1" applyAlignment="1">
      <alignment horizontal="right"/>
    </xf>
    <xf numFmtId="4" fontId="0" fillId="0" borderId="10" xfId="0" applyNumberFormat="1" applyBorder="1" applyAlignment="1">
      <alignment wrapText="1"/>
    </xf>
    <xf numFmtId="0" fontId="0" fillId="0" borderId="10" xfId="0" applyBorder="1" applyAlignment="1">
      <alignment wrapText="1"/>
    </xf>
    <xf numFmtId="4" fontId="7" fillId="0" borderId="10" xfId="244" applyNumberFormat="1" applyFont="1" applyFill="1" applyBorder="1" applyAlignment="1">
      <alignment horizontal="right" vertical="center" wrapText="1"/>
    </xf>
    <xf numFmtId="0" fontId="7" fillId="0" borderId="10" xfId="244" applyFont="1" applyFill="1" applyBorder="1" applyAlignment="1">
      <alignment horizontal="right" vertical="center" wrapText="1"/>
    </xf>
    <xf numFmtId="0" fontId="63" fillId="0" borderId="0" xfId="0" applyFont="1" applyFill="1" applyAlignment="1">
      <alignment horizontal="center"/>
    </xf>
    <xf numFmtId="0" fontId="6" fillId="18" borderId="16" xfId="0" applyFont="1" applyFill="1" applyBorder="1" applyAlignment="1">
      <alignment horizontal="center"/>
    </xf>
    <xf numFmtId="0" fontId="6" fillId="18" borderId="10" xfId="0" applyFont="1" applyFill="1" applyBorder="1" applyAlignment="1">
      <alignment horizontal="center"/>
    </xf>
    <xf numFmtId="0" fontId="6" fillId="18" borderId="13" xfId="0" applyFont="1" applyFill="1" applyBorder="1" applyAlignment="1">
      <alignment horizontal="center"/>
    </xf>
    <xf numFmtId="0" fontId="17" fillId="18" borderId="16" xfId="0" applyFont="1" applyFill="1" applyBorder="1" applyAlignment="1">
      <alignment horizontal="center" vertical="center"/>
    </xf>
    <xf numFmtId="0" fontId="17" fillId="18" borderId="10" xfId="0" applyFont="1" applyFill="1" applyBorder="1" applyAlignment="1">
      <alignment horizontal="center" vertical="center"/>
    </xf>
    <xf numFmtId="0" fontId="66" fillId="18" borderId="12" xfId="0" applyFont="1" applyFill="1" applyBorder="1" applyAlignment="1">
      <alignment horizontal="center" vertical="center"/>
    </xf>
    <xf numFmtId="0" fontId="66" fillId="18" borderId="15" xfId="0" applyFont="1" applyFill="1" applyBorder="1" applyAlignment="1">
      <alignment horizontal="center" vertical="center"/>
    </xf>
    <xf numFmtId="0" fontId="7" fillId="18" borderId="15" xfId="0" applyFont="1" applyFill="1" applyBorder="1" applyAlignment="1">
      <alignment horizontal="center" vertical="center"/>
    </xf>
    <xf numFmtId="0" fontId="6" fillId="18" borderId="23" xfId="0" applyFont="1" applyFill="1" applyBorder="1" applyAlignment="1">
      <alignment horizontal="center" vertical="center"/>
    </xf>
    <xf numFmtId="0" fontId="0" fillId="18" borderId="22" xfId="0" applyFont="1" applyFill="1" applyBorder="1" applyAlignment="1">
      <alignment horizontal="center" vertical="center"/>
    </xf>
    <xf numFmtId="0" fontId="0" fillId="18" borderId="21" xfId="0" applyFont="1" applyFill="1" applyBorder="1" applyAlignment="1">
      <alignment horizontal="center" vertical="center"/>
    </xf>
    <xf numFmtId="0" fontId="17" fillId="0" borderId="12" xfId="0" applyFont="1" applyBorder="1" applyAlignment="1">
      <alignment horizontal="center"/>
    </xf>
    <xf numFmtId="0" fontId="17" fillId="0" borderId="14" xfId="0" applyFont="1" applyBorder="1" applyAlignment="1">
      <alignment horizontal="center"/>
    </xf>
    <xf numFmtId="0" fontId="17" fillId="0" borderId="15" xfId="0" applyFont="1" applyBorder="1" applyAlignment="1">
      <alignment horizontal="center"/>
    </xf>
    <xf numFmtId="0" fontId="10" fillId="0" borderId="12" xfId="0" applyFont="1" applyBorder="1" applyAlignment="1">
      <alignment horizontal="right"/>
    </xf>
    <xf numFmtId="0" fontId="10" fillId="0" borderId="15" xfId="0" applyFont="1" applyBorder="1" applyAlignment="1">
      <alignment horizontal="right"/>
    </xf>
    <xf numFmtId="0" fontId="59" fillId="18" borderId="12" xfId="0" applyFont="1" applyFill="1" applyBorder="1" applyAlignment="1">
      <alignment horizontal="right"/>
    </xf>
    <xf numFmtId="0" fontId="59" fillId="18" borderId="15" xfId="0" applyFont="1" applyFill="1" applyBorder="1" applyAlignment="1">
      <alignment horizontal="right"/>
    </xf>
    <xf numFmtId="0" fontId="17" fillId="0" borderId="19" xfId="0" applyFont="1" applyBorder="1" applyAlignment="1">
      <alignment horizontal="center"/>
    </xf>
    <xf numFmtId="0" fontId="63" fillId="0" borderId="0" xfId="0" applyFont="1" applyAlignment="1">
      <alignment horizontal="center"/>
    </xf>
    <xf numFmtId="0" fontId="39" fillId="0" borderId="0" xfId="0" applyFont="1" applyAlignment="1">
      <alignment horizontal="center"/>
    </xf>
    <xf numFmtId="0" fontId="39" fillId="0" borderId="0" xfId="0" applyFont="1" applyAlignment="1">
      <alignment horizontal="left"/>
    </xf>
    <xf numFmtId="0" fontId="6" fillId="18" borderId="16" xfId="0" applyFont="1" applyFill="1" applyBorder="1" applyAlignment="1">
      <alignment horizontal="center" vertical="center"/>
    </xf>
    <xf numFmtId="0" fontId="0" fillId="18" borderId="10" xfId="0" applyFont="1" applyFill="1" applyBorder="1" applyAlignment="1">
      <alignment horizontal="center" vertical="center"/>
    </xf>
    <xf numFmtId="0" fontId="0" fillId="18" borderId="13" xfId="0" applyFont="1" applyFill="1" applyBorder="1" applyAlignment="1">
      <alignment horizontal="center" vertical="center"/>
    </xf>
    <xf numFmtId="0" fontId="0" fillId="18" borderId="15" xfId="0" applyFont="1" applyFill="1" applyBorder="1" applyAlignment="1">
      <alignment horizontal="center" vertical="center"/>
    </xf>
    <xf numFmtId="0" fontId="21" fillId="18" borderId="10" xfId="0" applyFont="1" applyFill="1" applyBorder="1" applyAlignment="1">
      <alignment horizontal="center"/>
    </xf>
    <xf numFmtId="0" fontId="21" fillId="18" borderId="13" xfId="0" applyFont="1" applyFill="1" applyBorder="1" applyAlignment="1">
      <alignment horizontal="center"/>
    </xf>
    <xf numFmtId="0" fontId="21" fillId="18" borderId="10" xfId="0" applyFont="1" applyFill="1" applyBorder="1" applyAlignment="1">
      <alignment horizontal="center" vertical="center"/>
    </xf>
    <xf numFmtId="0" fontId="21" fillId="18" borderId="16" xfId="0" applyFont="1" applyFill="1" applyBorder="1" applyAlignment="1">
      <alignment horizontal="center"/>
    </xf>
    <xf numFmtId="0" fontId="21" fillId="18" borderId="16" xfId="0" applyFont="1" applyFill="1" applyBorder="1" applyAlignment="1">
      <alignment horizontal="center" vertical="center"/>
    </xf>
    <xf numFmtId="0" fontId="16" fillId="0" borderId="11" xfId="0" applyFont="1" applyBorder="1" applyAlignment="1">
      <alignment horizontal="center"/>
    </xf>
    <xf numFmtId="0" fontId="17" fillId="0" borderId="11" xfId="0" applyFont="1" applyBorder="1" applyAlignment="1">
      <alignment horizontal="center"/>
    </xf>
    <xf numFmtId="0" fontId="17" fillId="0" borderId="16" xfId="0" applyFont="1" applyBorder="1" applyAlignment="1">
      <alignment horizontal="center"/>
    </xf>
    <xf numFmtId="0" fontId="21" fillId="18" borderId="13" xfId="0" applyFont="1" applyFill="1" applyBorder="1" applyAlignment="1">
      <alignment horizontal="center" vertical="center"/>
    </xf>
    <xf numFmtId="0" fontId="28" fillId="19" borderId="14" xfId="0" applyFont="1" applyFill="1" applyBorder="1" applyAlignment="1">
      <alignment horizontal="center"/>
    </xf>
    <xf numFmtId="0" fontId="21" fillId="18" borderId="25" xfId="0" applyFont="1" applyFill="1" applyBorder="1" applyAlignment="1">
      <alignment horizontal="center" vertical="center"/>
    </xf>
    <xf numFmtId="0" fontId="16" fillId="0" borderId="0" xfId="0" applyFont="1" applyAlignment="1">
      <alignment horizontal="center"/>
    </xf>
    <xf numFmtId="0" fontId="17" fillId="0" borderId="18" xfId="0" applyFont="1" applyBorder="1" applyAlignment="1">
      <alignment horizontal="center"/>
    </xf>
    <xf numFmtId="0" fontId="17" fillId="0" borderId="24" xfId="0" applyFont="1" applyBorder="1" applyAlignment="1">
      <alignment horizontal="center"/>
    </xf>
    <xf numFmtId="0" fontId="17" fillId="0" borderId="19" xfId="0" applyFont="1" applyFill="1" applyBorder="1" applyAlignment="1">
      <alignment horizontal="center"/>
    </xf>
    <xf numFmtId="0" fontId="17" fillId="0" borderId="36" xfId="0" applyFont="1" applyFill="1" applyBorder="1" applyAlignment="1">
      <alignment horizontal="center"/>
    </xf>
    <xf numFmtId="0" fontId="20" fillId="0" borderId="11" xfId="0" applyFont="1" applyBorder="1" applyAlignment="1">
      <alignment horizontal="center"/>
    </xf>
    <xf numFmtId="0" fontId="40" fillId="18" borderId="11" xfId="0" applyFont="1" applyFill="1" applyBorder="1" applyAlignment="1">
      <alignment horizontal="center" vertical="center"/>
    </xf>
    <xf numFmtId="0" fontId="0" fillId="0" borderId="11" xfId="0" applyBorder="1" applyAlignment="1">
      <alignment horizontal="center" vertical="center"/>
    </xf>
    <xf numFmtId="0" fontId="21" fillId="18" borderId="11" xfId="0" applyFont="1" applyFill="1" applyBorder="1" applyAlignment="1">
      <alignment horizontal="center" vertical="center"/>
    </xf>
    <xf numFmtId="0" fontId="8" fillId="0" borderId="11" xfId="0" applyFont="1" applyBorder="1" applyAlignment="1">
      <alignment horizontal="center"/>
    </xf>
    <xf numFmtId="0" fontId="96" fillId="0" borderId="12" xfId="0" applyFont="1" applyFill="1" applyBorder="1" applyAlignment="1">
      <alignment horizontal="center"/>
    </xf>
    <xf numFmtId="0" fontId="96" fillId="0" borderId="14" xfId="0" applyFont="1" applyFill="1" applyBorder="1" applyAlignment="1">
      <alignment horizontal="center"/>
    </xf>
    <xf numFmtId="0" fontId="96" fillId="0" borderId="11" xfId="0" applyFont="1" applyFill="1" applyBorder="1" applyAlignment="1">
      <alignment horizontal="center"/>
    </xf>
    <xf numFmtId="0" fontId="35" fillId="18" borderId="16" xfId="0" applyFont="1" applyFill="1" applyBorder="1" applyAlignment="1">
      <alignment horizontal="center" vertical="center"/>
    </xf>
    <xf numFmtId="0" fontId="61" fillId="18" borderId="13" xfId="0" applyFont="1" applyFill="1" applyBorder="1" applyAlignment="1">
      <alignment horizontal="center" vertical="center"/>
    </xf>
    <xf numFmtId="0" fontId="33" fillId="18" borderId="18" xfId="0" applyFont="1" applyFill="1" applyBorder="1" applyAlignment="1">
      <alignment horizontal="center" vertical="center"/>
    </xf>
    <xf numFmtId="0" fontId="33" fillId="18" borderId="23" xfId="0" applyFont="1" applyFill="1" applyBorder="1" applyAlignment="1">
      <alignment horizontal="center" vertical="center"/>
    </xf>
    <xf numFmtId="0" fontId="33" fillId="18" borderId="17" xfId="0" applyFont="1" applyFill="1" applyBorder="1" applyAlignment="1">
      <alignment horizontal="center" vertical="center"/>
    </xf>
    <xf numFmtId="0" fontId="33" fillId="18" borderId="22" xfId="0" applyFont="1" applyFill="1" applyBorder="1" applyAlignment="1">
      <alignment horizontal="center" vertical="center"/>
    </xf>
    <xf numFmtId="0" fontId="33" fillId="18" borderId="20" xfId="0" applyFont="1" applyFill="1" applyBorder="1" applyAlignment="1">
      <alignment horizontal="center" vertical="center"/>
    </xf>
    <xf numFmtId="0" fontId="33" fillId="18" borderId="21" xfId="0" applyFont="1" applyFill="1" applyBorder="1" applyAlignment="1">
      <alignment horizontal="center" vertical="center"/>
    </xf>
    <xf numFmtId="0" fontId="35" fillId="18" borderId="18" xfId="0" applyFont="1" applyFill="1" applyBorder="1" applyAlignment="1">
      <alignment horizontal="center" vertical="center"/>
    </xf>
    <xf numFmtId="0" fontId="35" fillId="18" borderId="23" xfId="0" applyFont="1" applyFill="1" applyBorder="1" applyAlignment="1">
      <alignment horizontal="center" vertical="center"/>
    </xf>
    <xf numFmtId="0" fontId="35" fillId="18" borderId="20" xfId="0" applyFont="1" applyFill="1" applyBorder="1" applyAlignment="1">
      <alignment horizontal="center" vertical="center"/>
    </xf>
    <xf numFmtId="0" fontId="35" fillId="18" borderId="21" xfId="0" applyFont="1" applyFill="1" applyBorder="1" applyAlignment="1">
      <alignment horizontal="center" vertical="center"/>
    </xf>
    <xf numFmtId="0" fontId="33" fillId="18" borderId="16" xfId="0" applyFont="1" applyFill="1" applyBorder="1" applyAlignment="1">
      <alignment horizontal="center" vertical="center"/>
    </xf>
    <xf numFmtId="0" fontId="33" fillId="18" borderId="10" xfId="0" applyFont="1" applyFill="1" applyBorder="1" applyAlignment="1">
      <alignment horizontal="center" vertical="center"/>
    </xf>
    <xf numFmtId="0" fontId="35" fillId="0" borderId="12" xfId="0" applyFont="1" applyBorder="1" applyAlignment="1">
      <alignment horizontal="center"/>
    </xf>
    <xf numFmtId="0" fontId="35" fillId="0" borderId="14" xfId="0" applyFont="1" applyBorder="1" applyAlignment="1">
      <alignment horizontal="center"/>
    </xf>
    <xf numFmtId="0" fontId="35" fillId="0" borderId="15" xfId="0" applyFont="1" applyBorder="1" applyAlignment="1">
      <alignment horizontal="center"/>
    </xf>
    <xf numFmtId="0" fontId="36" fillId="0" borderId="12" xfId="0" applyFont="1" applyBorder="1" applyAlignment="1">
      <alignment horizontal="center"/>
    </xf>
    <xf numFmtId="0" fontId="36" fillId="0" borderId="14" xfId="0" applyFont="1" applyBorder="1" applyAlignment="1">
      <alignment horizontal="center"/>
    </xf>
    <xf numFmtId="0" fontId="36" fillId="0" borderId="15" xfId="0" applyFont="1" applyBorder="1" applyAlignment="1">
      <alignment horizontal="center"/>
    </xf>
    <xf numFmtId="0" fontId="20" fillId="0" borderId="12" xfId="0" applyFont="1" applyFill="1" applyBorder="1" applyAlignment="1">
      <alignment horizontal="center"/>
    </xf>
    <xf numFmtId="0" fontId="20" fillId="0" borderId="14" xfId="0" applyFont="1" applyFill="1" applyBorder="1" applyAlignment="1">
      <alignment horizontal="center"/>
    </xf>
    <xf numFmtId="0" fontId="20" fillId="0" borderId="15" xfId="0" applyFont="1" applyFill="1" applyBorder="1" applyAlignment="1">
      <alignment horizontal="center"/>
    </xf>
    <xf numFmtId="0" fontId="39" fillId="0" borderId="12" xfId="0" applyFont="1" applyBorder="1" applyAlignment="1">
      <alignment horizontal="center"/>
    </xf>
    <xf numFmtId="0" fontId="39" fillId="0" borderId="14" xfId="0" applyFont="1" applyBorder="1" applyAlignment="1">
      <alignment horizontal="center"/>
    </xf>
    <xf numFmtId="0" fontId="39" fillId="0" borderId="15" xfId="0" applyFont="1" applyBorder="1" applyAlignment="1">
      <alignment horizontal="center"/>
    </xf>
    <xf numFmtId="0" fontId="20" fillId="0" borderId="12" xfId="0" applyFont="1" applyBorder="1" applyAlignment="1">
      <alignment horizontal="center"/>
    </xf>
    <xf numFmtId="0" fontId="20" fillId="0" borderId="14" xfId="0" applyFont="1" applyBorder="1" applyAlignment="1">
      <alignment horizontal="center"/>
    </xf>
    <xf numFmtId="0" fontId="20" fillId="0" borderId="15" xfId="0" applyFont="1" applyBorder="1" applyAlignment="1">
      <alignment horizontal="center"/>
    </xf>
    <xf numFmtId="0" fontId="12" fillId="0" borderId="10" xfId="0" applyFont="1" applyFill="1" applyBorder="1"/>
    <xf numFmtId="0" fontId="12" fillId="0" borderId="10" xfId="0" applyFont="1" applyFill="1" applyBorder="1" applyAlignment="1">
      <alignment horizontal="center"/>
    </xf>
    <xf numFmtId="1" fontId="12" fillId="0" borderId="10" xfId="0" applyNumberFormat="1" applyFont="1" applyFill="1" applyBorder="1" applyAlignment="1">
      <alignment horizontal="center"/>
    </xf>
    <xf numFmtId="0" fontId="12" fillId="0" borderId="16" xfId="0" quotePrefix="1" applyFont="1" applyFill="1" applyBorder="1" applyAlignment="1">
      <alignment horizontal="center"/>
    </xf>
    <xf numFmtId="0" fontId="97" fillId="0" borderId="10" xfId="0" applyFont="1" applyFill="1" applyBorder="1" applyAlignment="1">
      <alignment horizontal="left"/>
    </xf>
    <xf numFmtId="0" fontId="12" fillId="0" borderId="13" xfId="0" applyFont="1" applyFill="1" applyBorder="1"/>
    <xf numFmtId="0" fontId="12" fillId="0" borderId="13" xfId="0" applyFont="1" applyFill="1" applyBorder="1" applyAlignment="1">
      <alignment horizontal="center"/>
    </xf>
    <xf numFmtId="1" fontId="12" fillId="0" borderId="13" xfId="0" applyNumberFormat="1" applyFont="1" applyFill="1" applyBorder="1" applyAlignment="1">
      <alignment horizontal="center"/>
    </xf>
    <xf numFmtId="165" fontId="10" fillId="0" borderId="13" xfId="0" applyNumberFormat="1" applyFont="1" applyFill="1" applyBorder="1" applyAlignment="1">
      <alignment horizontal="center"/>
    </xf>
    <xf numFmtId="0" fontId="12" fillId="0" borderId="16" xfId="0" applyFont="1" applyFill="1" applyBorder="1"/>
    <xf numFmtId="0" fontId="12" fillId="0" borderId="24" xfId="0" applyFont="1" applyFill="1" applyBorder="1"/>
    <xf numFmtId="1" fontId="12" fillId="0" borderId="24" xfId="0" applyNumberFormat="1" applyFont="1" applyFill="1" applyBorder="1"/>
    <xf numFmtId="0" fontId="12" fillId="0" borderId="0" xfId="0" applyFont="1" applyFill="1" applyBorder="1"/>
    <xf numFmtId="1" fontId="12" fillId="0" borderId="0" xfId="0" applyNumberFormat="1" applyFont="1" applyFill="1" applyBorder="1"/>
    <xf numFmtId="0" fontId="0" fillId="0" borderId="0" xfId="0" applyFont="1" applyFill="1" applyBorder="1"/>
    <xf numFmtId="0" fontId="12" fillId="0" borderId="11" xfId="0" applyFont="1" applyFill="1" applyBorder="1"/>
    <xf numFmtId="0" fontId="12" fillId="0" borderId="14" xfId="0" applyFont="1" applyFill="1" applyBorder="1"/>
    <xf numFmtId="1" fontId="12" fillId="0" borderId="14" xfId="0" applyNumberFormat="1" applyFont="1" applyFill="1" applyBorder="1"/>
    <xf numFmtId="1" fontId="12" fillId="0" borderId="13" xfId="0" applyNumberFormat="1" applyFont="1" applyFill="1" applyBorder="1"/>
    <xf numFmtId="0" fontId="97" fillId="0" borderId="0" xfId="0" applyFont="1" applyFill="1" applyBorder="1"/>
    <xf numFmtId="1" fontId="12" fillId="0" borderId="10" xfId="0" applyNumberFormat="1" applyFont="1" applyFill="1" applyBorder="1"/>
    <xf numFmtId="1" fontId="12" fillId="0" borderId="11" xfId="0" applyNumberFormat="1" applyFont="1" applyFill="1" applyBorder="1"/>
    <xf numFmtId="0" fontId="12" fillId="0" borderId="10" xfId="177" applyFont="1" applyFill="1" applyBorder="1"/>
    <xf numFmtId="0" fontId="12" fillId="0" borderId="0" xfId="0" quotePrefix="1" applyFont="1" applyFill="1" applyBorder="1" applyAlignment="1">
      <alignment horizontal="left"/>
    </xf>
    <xf numFmtId="0" fontId="12" fillId="0" borderId="10" xfId="0" quotePrefix="1" applyFont="1" applyFill="1" applyBorder="1" applyAlignment="1">
      <alignment horizontal="left"/>
    </xf>
    <xf numFmtId="0" fontId="12" fillId="0" borderId="0" xfId="0" quotePrefix="1" applyFont="1" applyFill="1" applyBorder="1" applyAlignment="1">
      <alignment horizontal="right"/>
    </xf>
    <xf numFmtId="0" fontId="12" fillId="0" borderId="10" xfId="0" applyFont="1" applyFill="1" applyBorder="1" applyAlignment="1">
      <alignment horizontal="left"/>
    </xf>
    <xf numFmtId="0" fontId="12" fillId="0" borderId="0" xfId="0" applyFont="1" applyFill="1" applyBorder="1" applyAlignment="1">
      <alignment horizontal="right"/>
    </xf>
    <xf numFmtId="0" fontId="12" fillId="0" borderId="0" xfId="0" applyFont="1" applyFill="1" applyBorder="1" applyAlignment="1">
      <alignment horizontal="left"/>
    </xf>
    <xf numFmtId="0" fontId="12" fillId="0" borderId="11" xfId="0" quotePrefix="1" applyFont="1" applyFill="1" applyBorder="1"/>
    <xf numFmtId="0" fontId="12" fillId="0" borderId="16" xfId="0" applyFont="1" applyFill="1" applyBorder="1" applyAlignment="1">
      <alignment horizontal="left"/>
    </xf>
    <xf numFmtId="0" fontId="12" fillId="0" borderId="13" xfId="0" applyFont="1" applyFill="1" applyBorder="1" applyAlignment="1">
      <alignment horizontal="left"/>
    </xf>
    <xf numFmtId="0" fontId="12" fillId="0" borderId="11" xfId="0" applyFont="1" applyFill="1" applyBorder="1" applyAlignment="1">
      <alignment horizontal="left"/>
    </xf>
    <xf numFmtId="1" fontId="0" fillId="0" borderId="17" xfId="0" applyNumberFormat="1" applyFont="1" applyFill="1" applyBorder="1"/>
    <xf numFmtId="0" fontId="99" fillId="0" borderId="0" xfId="176" applyFont="1" applyFill="1"/>
    <xf numFmtId="0" fontId="12" fillId="0" borderId="19" xfId="0" applyFont="1" applyFill="1" applyBorder="1" applyAlignment="1">
      <alignment horizontal="left"/>
    </xf>
    <xf numFmtId="0" fontId="12" fillId="0" borderId="19" xfId="0" applyFont="1" applyFill="1" applyBorder="1"/>
    <xf numFmtId="2" fontId="12" fillId="0" borderId="13" xfId="0" applyNumberFormat="1" applyFont="1" applyFill="1" applyBorder="1"/>
    <xf numFmtId="1" fontId="12" fillId="0" borderId="19" xfId="0" applyNumberFormat="1" applyFont="1" applyFill="1" applyBorder="1"/>
    <xf numFmtId="0" fontId="12" fillId="0" borderId="0" xfId="0" applyFont="1" applyFill="1"/>
    <xf numFmtId="1" fontId="12" fillId="0" borderId="0" xfId="0" applyNumberFormat="1" applyFont="1" applyFill="1"/>
    <xf numFmtId="0" fontId="12" fillId="0" borderId="0" xfId="0" applyFont="1" applyFill="1" applyAlignment="1">
      <alignment horizontal="left"/>
    </xf>
    <xf numFmtId="2" fontId="12" fillId="0" borderId="0" xfId="0" applyNumberFormat="1" applyFont="1" applyFill="1"/>
    <xf numFmtId="1" fontId="12" fillId="0" borderId="0" xfId="176" applyNumberFormat="1" applyFont="1" applyFill="1"/>
    <xf numFmtId="1" fontId="7" fillId="0" borderId="0" xfId="176" applyNumberFormat="1" applyFont="1" applyFill="1"/>
    <xf numFmtId="1" fontId="100" fillId="0" borderId="0" xfId="176" applyNumberFormat="1" applyFont="1" applyFill="1"/>
    <xf numFmtId="1" fontId="102" fillId="0" borderId="0" xfId="176" applyNumberFormat="1" applyFont="1" applyFill="1"/>
    <xf numFmtId="1" fontId="103" fillId="0" borderId="0" xfId="176" applyNumberFormat="1" applyFont="1" applyFill="1"/>
    <xf numFmtId="1" fontId="101" fillId="0" borderId="0" xfId="176" applyNumberFormat="1" applyFont="1" applyFill="1"/>
    <xf numFmtId="1" fontId="104" fillId="0" borderId="0" xfId="176" applyNumberFormat="1" applyFont="1" applyFill="1"/>
  </cellXfs>
  <cellStyles count="245">
    <cellStyle name="20% - Accent1" xfId="1" builtinId="30" customBuiltin="1"/>
    <cellStyle name="20% - Accent1 2" xfId="2"/>
    <cellStyle name="20% - Accent1 2 2" xfId="181"/>
    <cellStyle name="20% - Accent1 3" xfId="3"/>
    <cellStyle name="20% - Accent1 4" xfId="151"/>
    <cellStyle name="20% - Accent1 4 2" xfId="227"/>
    <cellStyle name="20% - Accent2" xfId="4" builtinId="34" customBuiltin="1"/>
    <cellStyle name="20% - Accent2 2" xfId="5"/>
    <cellStyle name="20% - Accent2 2 2" xfId="182"/>
    <cellStyle name="20% - Accent2 3" xfId="6"/>
    <cellStyle name="20% - Accent2 4" xfId="155"/>
    <cellStyle name="20% - Accent2 4 2" xfId="229"/>
    <cellStyle name="20% - Accent3" xfId="7" builtinId="38" customBuiltin="1"/>
    <cellStyle name="20% - Accent3 2" xfId="8"/>
    <cellStyle name="20% - Accent3 2 2" xfId="183"/>
    <cellStyle name="20% - Accent3 3" xfId="9"/>
    <cellStyle name="20% - Accent3 4" xfId="159"/>
    <cellStyle name="20% - Accent3 4 2" xfId="231"/>
    <cellStyle name="20% - Accent4" xfId="10" builtinId="42" customBuiltin="1"/>
    <cellStyle name="20% - Accent4 2" xfId="11"/>
    <cellStyle name="20% - Accent4 2 2" xfId="184"/>
    <cellStyle name="20% - Accent4 3" xfId="12"/>
    <cellStyle name="20% - Accent4 4" xfId="163"/>
    <cellStyle name="20% - Accent4 4 2" xfId="233"/>
    <cellStyle name="20% - Accent5" xfId="13" builtinId="46" customBuiltin="1"/>
    <cellStyle name="20% - Accent5 2" xfId="14"/>
    <cellStyle name="20% - Accent5 2 2" xfId="185"/>
    <cellStyle name="20% - Accent5 3" xfId="15"/>
    <cellStyle name="20% - Accent5 4" xfId="167"/>
    <cellStyle name="20% - Accent5 4 2" xfId="235"/>
    <cellStyle name="20% - Accent6" xfId="16" builtinId="50" customBuiltin="1"/>
    <cellStyle name="20% - Accent6 2" xfId="17"/>
    <cellStyle name="20% - Accent6 2 2" xfId="186"/>
    <cellStyle name="20% - Accent6 3" xfId="18"/>
    <cellStyle name="20% - Accent6 4" xfId="171"/>
    <cellStyle name="20% - Accent6 4 2" xfId="237"/>
    <cellStyle name="40% - Accent1" xfId="19" builtinId="31" customBuiltin="1"/>
    <cellStyle name="40% - Accent1 2" xfId="20"/>
    <cellStyle name="40% - Accent1 2 2" xfId="187"/>
    <cellStyle name="40% - Accent1 3" xfId="21"/>
    <cellStyle name="40% - Accent1 4" xfId="152"/>
    <cellStyle name="40% - Accent1 4 2" xfId="228"/>
    <cellStyle name="40% - Accent2" xfId="22" builtinId="35" customBuiltin="1"/>
    <cellStyle name="40% - Accent2 2" xfId="23"/>
    <cellStyle name="40% - Accent2 2 2" xfId="188"/>
    <cellStyle name="40% - Accent2 3" xfId="24"/>
    <cellStyle name="40% - Accent2 4" xfId="156"/>
    <cellStyle name="40% - Accent2 4 2" xfId="230"/>
    <cellStyle name="40% - Accent3" xfId="25" builtinId="39" customBuiltin="1"/>
    <cellStyle name="40% - Accent3 2" xfId="26"/>
    <cellStyle name="40% - Accent3 2 2" xfId="189"/>
    <cellStyle name="40% - Accent3 3" xfId="27"/>
    <cellStyle name="40% - Accent3 4" xfId="160"/>
    <cellStyle name="40% - Accent3 4 2" xfId="232"/>
    <cellStyle name="40% - Accent4" xfId="28" builtinId="43" customBuiltin="1"/>
    <cellStyle name="40% - Accent4 2" xfId="29"/>
    <cellStyle name="40% - Accent4 2 2" xfId="190"/>
    <cellStyle name="40% - Accent4 3" xfId="30"/>
    <cellStyle name="40% - Accent4 4" xfId="164"/>
    <cellStyle name="40% - Accent4 4 2" xfId="234"/>
    <cellStyle name="40% - Accent5" xfId="31" builtinId="47" customBuiltin="1"/>
    <cellStyle name="40% - Accent5 2" xfId="32"/>
    <cellStyle name="40% - Accent5 2 2" xfId="191"/>
    <cellStyle name="40% - Accent5 3" xfId="33"/>
    <cellStyle name="40% - Accent5 4" xfId="168"/>
    <cellStyle name="40% - Accent5 4 2" xfId="236"/>
    <cellStyle name="40% - Accent6" xfId="34" builtinId="51" customBuiltin="1"/>
    <cellStyle name="40% - Accent6 2" xfId="35"/>
    <cellStyle name="40% - Accent6 2 2" xfId="192"/>
    <cellStyle name="40% - Accent6 3" xfId="36"/>
    <cellStyle name="40% - Accent6 4" xfId="172"/>
    <cellStyle name="40% - Accent6 4 2" xfId="238"/>
    <cellStyle name="60% - Accent1" xfId="37" builtinId="32" customBuiltin="1"/>
    <cellStyle name="60% - Accent1 2" xfId="38"/>
    <cellStyle name="60% - Accent1 2 2" xfId="193"/>
    <cellStyle name="60% - Accent1 3" xfId="39"/>
    <cellStyle name="60% - Accent1 4" xfId="153"/>
    <cellStyle name="60% - Accent2" xfId="40" builtinId="36" customBuiltin="1"/>
    <cellStyle name="60% - Accent2 2" xfId="41"/>
    <cellStyle name="60% - Accent2 2 2" xfId="194"/>
    <cellStyle name="60% - Accent2 3" xfId="42"/>
    <cellStyle name="60% - Accent2 4" xfId="157"/>
    <cellStyle name="60% - Accent3" xfId="43" builtinId="40" customBuiltin="1"/>
    <cellStyle name="60% - Accent3 2" xfId="44"/>
    <cellStyle name="60% - Accent3 2 2" xfId="195"/>
    <cellStyle name="60% - Accent3 3" xfId="45"/>
    <cellStyle name="60% - Accent3 4" xfId="161"/>
    <cellStyle name="60% - Accent4" xfId="46" builtinId="44" customBuiltin="1"/>
    <cellStyle name="60% - Accent4 2" xfId="47"/>
    <cellStyle name="60% - Accent4 2 2" xfId="196"/>
    <cellStyle name="60% - Accent4 3" xfId="48"/>
    <cellStyle name="60% - Accent4 4" xfId="165"/>
    <cellStyle name="60% - Accent5" xfId="49" builtinId="48" customBuiltin="1"/>
    <cellStyle name="60% - Accent5 2" xfId="50"/>
    <cellStyle name="60% - Accent5 2 2" xfId="197"/>
    <cellStyle name="60% - Accent5 3" xfId="51"/>
    <cellStyle name="60% - Accent5 4" xfId="169"/>
    <cellStyle name="60% - Accent6" xfId="52" builtinId="52" customBuiltin="1"/>
    <cellStyle name="60% - Accent6 2" xfId="53"/>
    <cellStyle name="60% - Accent6 2 2" xfId="198"/>
    <cellStyle name="60% - Accent6 3" xfId="54"/>
    <cellStyle name="60% - Accent6 4" xfId="173"/>
    <cellStyle name="Accent1" xfId="55" builtinId="29" customBuiltin="1"/>
    <cellStyle name="Accent1 2" xfId="56"/>
    <cellStyle name="Accent1 2 2" xfId="199"/>
    <cellStyle name="Accent1 3" xfId="57"/>
    <cellStyle name="Accent1 4" xfId="150"/>
    <cellStyle name="Accent2" xfId="58" builtinId="33" customBuiltin="1"/>
    <cellStyle name="Accent2 2" xfId="59"/>
    <cellStyle name="Accent2 2 2" xfId="200"/>
    <cellStyle name="Accent2 3" xfId="60"/>
    <cellStyle name="Accent2 4" xfId="154"/>
    <cellStyle name="Accent3" xfId="61" builtinId="37" customBuiltin="1"/>
    <cellStyle name="Accent3 2" xfId="62"/>
    <cellStyle name="Accent3 2 2" xfId="201"/>
    <cellStyle name="Accent3 3" xfId="63"/>
    <cellStyle name="Accent3 4" xfId="158"/>
    <cellStyle name="Accent4" xfId="64" builtinId="41" customBuiltin="1"/>
    <cellStyle name="Accent4 2" xfId="65"/>
    <cellStyle name="Accent4 2 2" xfId="202"/>
    <cellStyle name="Accent4 3" xfId="66"/>
    <cellStyle name="Accent4 4" xfId="162"/>
    <cellStyle name="Accent5" xfId="67" builtinId="45" customBuiltin="1"/>
    <cellStyle name="Accent5 2" xfId="68"/>
    <cellStyle name="Accent5 2 2" xfId="203"/>
    <cellStyle name="Accent5 3" xfId="69"/>
    <cellStyle name="Accent5 4" xfId="166"/>
    <cellStyle name="Accent6" xfId="70" builtinId="49" customBuiltin="1"/>
    <cellStyle name="Accent6 2" xfId="71"/>
    <cellStyle name="Accent6 2 2" xfId="204"/>
    <cellStyle name="Accent6 3" xfId="72"/>
    <cellStyle name="Accent6 4" xfId="170"/>
    <cellStyle name="Bad" xfId="73" builtinId="27" customBuiltin="1"/>
    <cellStyle name="Bad 2" xfId="74"/>
    <cellStyle name="Bad 2 2" xfId="205"/>
    <cellStyle name="Bad 3" xfId="75"/>
    <cellStyle name="Bad 4" xfId="139"/>
    <cellStyle name="Calculation" xfId="76" builtinId="22" customBuiltin="1"/>
    <cellStyle name="Calculation 2" xfId="77"/>
    <cellStyle name="Calculation 2 2" xfId="206"/>
    <cellStyle name="Calculation 3" xfId="78"/>
    <cellStyle name="Calculation 4" xfId="143"/>
    <cellStyle name="Check Cell" xfId="79" builtinId="23" customBuiltin="1"/>
    <cellStyle name="Check Cell 2" xfId="80"/>
    <cellStyle name="Check Cell 2 2" xfId="207"/>
    <cellStyle name="Check Cell 3" xfId="81"/>
    <cellStyle name="Check Cell 4" xfId="145"/>
    <cellStyle name="Comma" xfId="178" builtinId="3"/>
    <cellStyle name="Explanatory Text" xfId="82" builtinId="53" customBuiltin="1"/>
    <cellStyle name="Explanatory Text 2" xfId="83"/>
    <cellStyle name="Explanatory Text 2 2" xfId="208"/>
    <cellStyle name="Explanatory Text 3" xfId="84"/>
    <cellStyle name="Explanatory Text 4" xfId="148"/>
    <cellStyle name="Good" xfId="85" builtinId="26" customBuiltin="1"/>
    <cellStyle name="Good 2" xfId="86"/>
    <cellStyle name="Good 2 2" xfId="209"/>
    <cellStyle name="Good 3" xfId="87"/>
    <cellStyle name="Good 4" xfId="138"/>
    <cellStyle name="Heading 1" xfId="88" builtinId="16" customBuiltin="1"/>
    <cellStyle name="Heading 1 2" xfId="89"/>
    <cellStyle name="Heading 1 2 2" xfId="210"/>
    <cellStyle name="Heading 1 3" xfId="90"/>
    <cellStyle name="Heading 1 4" xfId="134"/>
    <cellStyle name="Heading 2" xfId="91" builtinId="17" customBuiltin="1"/>
    <cellStyle name="Heading 2 2" xfId="92"/>
    <cellStyle name="Heading 2 2 2" xfId="211"/>
    <cellStyle name="Heading 2 3" xfId="93"/>
    <cellStyle name="Heading 2 4" xfId="135"/>
    <cellStyle name="Heading 3" xfId="94" builtinId="18" customBuiltin="1"/>
    <cellStyle name="Heading 3 2" xfId="95"/>
    <cellStyle name="Heading 3 2 2" xfId="212"/>
    <cellStyle name="Heading 3 3" xfId="96"/>
    <cellStyle name="Heading 3 4" xfId="136"/>
    <cellStyle name="Heading 4" xfId="97" builtinId="19" customBuiltin="1"/>
    <cellStyle name="Heading 4 2" xfId="98"/>
    <cellStyle name="Heading 4 2 2" xfId="213"/>
    <cellStyle name="Heading 4 3" xfId="99"/>
    <cellStyle name="Heading 4 4" xfId="137"/>
    <cellStyle name="Input" xfId="100" builtinId="20" customBuiltin="1"/>
    <cellStyle name="Input 2" xfId="101"/>
    <cellStyle name="Input 2 2" xfId="214"/>
    <cellStyle name="Input 3" xfId="102"/>
    <cellStyle name="Input 4" xfId="141"/>
    <cellStyle name="Linked Cell" xfId="103" builtinId="24" customBuiltin="1"/>
    <cellStyle name="Linked Cell 2" xfId="104"/>
    <cellStyle name="Linked Cell 2 2" xfId="215"/>
    <cellStyle name="Linked Cell 3" xfId="105"/>
    <cellStyle name="Linked Cell 4" xfId="144"/>
    <cellStyle name="Neutral" xfId="106" builtinId="28" customBuiltin="1"/>
    <cellStyle name="Neutral 2" xfId="107"/>
    <cellStyle name="Neutral 2 2" xfId="216"/>
    <cellStyle name="Neutral 3" xfId="108"/>
    <cellStyle name="Neutral 4" xfId="140"/>
    <cellStyle name="Normal" xfId="0" builtinId="0"/>
    <cellStyle name="Normal 10" xfId="179"/>
    <cellStyle name="Normal 11" xfId="242"/>
    <cellStyle name="Normal 12" xfId="243"/>
    <cellStyle name="Normal 13" xfId="244"/>
    <cellStyle name="Normal 2" xfId="109"/>
    <cellStyle name="Normal 2 2" xfId="110"/>
    <cellStyle name="Normal 2 3" xfId="111"/>
    <cellStyle name="Normal 2 4" xfId="180"/>
    <cellStyle name="Normal 3" xfId="130"/>
    <cellStyle name="Normal 3 2" xfId="112"/>
    <cellStyle name="Normal 3 3" xfId="224"/>
    <cellStyle name="Normal 4" xfId="132"/>
    <cellStyle name="Normal 4 2" xfId="225"/>
    <cellStyle name="Normal 5" xfId="113"/>
    <cellStyle name="Normal 5 2" xfId="217"/>
    <cellStyle name="Normal 6" xfId="114"/>
    <cellStyle name="Normal 6 2" xfId="218"/>
    <cellStyle name="Normal 7" xfId="174"/>
    <cellStyle name="Normal 7 2" xfId="239"/>
    <cellStyle name="Normal 8" xfId="175"/>
    <cellStyle name="Normal 8 2" xfId="240"/>
    <cellStyle name="Normal 9" xfId="176"/>
    <cellStyle name="Normal 9 2" xfId="241"/>
    <cellStyle name="Normal_14DEC206 2" xfId="131"/>
    <cellStyle name="Normal_14JUNE06" xfId="177"/>
    <cellStyle name="Note" xfId="115" builtinId="10" customBuiltin="1"/>
    <cellStyle name="Note 2" xfId="116"/>
    <cellStyle name="Note 2 2" xfId="219"/>
    <cellStyle name="Note 3" xfId="117"/>
    <cellStyle name="Note 4" xfId="147"/>
    <cellStyle name="Note 4 2" xfId="226"/>
    <cellStyle name="Output" xfId="118" builtinId="21" customBuiltin="1"/>
    <cellStyle name="Output 2" xfId="119"/>
    <cellStyle name="Output 2 2" xfId="220"/>
    <cellStyle name="Output 3" xfId="120"/>
    <cellStyle name="Output 4" xfId="142"/>
    <cellStyle name="Title" xfId="121" builtinId="15" customBuiltin="1"/>
    <cellStyle name="Title 2" xfId="122"/>
    <cellStyle name="Title 2 2" xfId="221"/>
    <cellStyle name="Title 3" xfId="123"/>
    <cellStyle name="Title 4" xfId="133"/>
    <cellStyle name="Total" xfId="124" builtinId="25" customBuiltin="1"/>
    <cellStyle name="Total 2" xfId="125"/>
    <cellStyle name="Total 2 2" xfId="222"/>
    <cellStyle name="Total 3" xfId="126"/>
    <cellStyle name="Total 4" xfId="149"/>
    <cellStyle name="Warning Text" xfId="127" builtinId="11" customBuiltin="1"/>
    <cellStyle name="Warning Text 2" xfId="128"/>
    <cellStyle name="Warning Text 2 2" xfId="223"/>
    <cellStyle name="Warning Text 3" xfId="129"/>
    <cellStyle name="Warning Text 4" xfId="146"/>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0E6F4"/>
      <color rgb="FF00CCFF"/>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9.4684385382068692E-2"/>
          <c:y val="5.5438817516231524E-2"/>
          <c:w val="0.86544850498338965"/>
          <c:h val="0.4203513192430039"/>
        </c:manualLayout>
      </c:layout>
      <c:barChart>
        <c:barDir val="col"/>
        <c:grouping val="clustered"/>
        <c:ser>
          <c:idx val="0"/>
          <c:order val="0"/>
          <c:spPr>
            <a:solidFill>
              <a:srgbClr val="FF0000"/>
            </a:solidFill>
            <a:ln w="12700">
              <a:solidFill>
                <a:srgbClr val="000000"/>
              </a:solidFill>
              <a:prstDash val="solid"/>
            </a:ln>
          </c:spPr>
          <c:cat>
            <c:multiLvlStrRef>
              <c:f>'Top Ten'!$B$6:$C$15</c:f>
              <c:multiLvlStrCache>
                <c:ptCount val="10"/>
                <c:lvl>
                  <c:pt idx="0">
                    <c:v>Nepal Bangladesh Bank Ltd.</c:v>
                  </c:pt>
                  <c:pt idx="1">
                    <c:v>Nepal Bank Limited</c:v>
                  </c:pt>
                  <c:pt idx="2">
                    <c:v>Kumari Bank Ltd</c:v>
                  </c:pt>
                  <c:pt idx="3">
                    <c:v>NIC Asia Bank Ltd.</c:v>
                  </c:pt>
                  <c:pt idx="4">
                    <c:v>Sanima Bank Ltd.</c:v>
                  </c:pt>
                  <c:pt idx="5">
                    <c:v>Nepal Credit And Com. Bank</c:v>
                  </c:pt>
                  <c:pt idx="6">
                    <c:v>Chilime Hydro power Co.</c:v>
                  </c:pt>
                  <c:pt idx="7">
                    <c:v>Agriculture Development Bank </c:v>
                  </c:pt>
                  <c:pt idx="8">
                    <c:v>Everest Bank Ltd.</c:v>
                  </c:pt>
                  <c:pt idx="9">
                    <c:v>Machhapuchhre Bank Ltd.</c:v>
                  </c:pt>
                </c:lvl>
                <c:lvl>
                  <c:pt idx="0">
                    <c:v>1</c:v>
                  </c:pt>
                  <c:pt idx="1">
                    <c:v>2</c:v>
                  </c:pt>
                  <c:pt idx="2">
                    <c:v>3</c:v>
                  </c:pt>
                  <c:pt idx="3">
                    <c:v>4</c:v>
                  </c:pt>
                  <c:pt idx="4">
                    <c:v>5</c:v>
                  </c:pt>
                  <c:pt idx="5">
                    <c:v>6</c:v>
                  </c:pt>
                  <c:pt idx="6">
                    <c:v>7</c:v>
                  </c:pt>
                  <c:pt idx="7">
                    <c:v>8</c:v>
                  </c:pt>
                  <c:pt idx="8">
                    <c:v>9</c:v>
                  </c:pt>
                  <c:pt idx="9">
                    <c:v>10</c:v>
                  </c:pt>
                </c:lvl>
              </c:multiLvlStrCache>
            </c:multiLvlStrRef>
          </c:cat>
          <c:val>
            <c:numRef>
              <c:f>'Top Ten'!$D$6:$D$15</c:f>
              <c:numCache>
                <c:formatCode>0.00</c:formatCode>
                <c:ptCount val="10"/>
                <c:pt idx="0">
                  <c:v>699.66</c:v>
                </c:pt>
                <c:pt idx="1">
                  <c:v>571.36</c:v>
                </c:pt>
                <c:pt idx="2">
                  <c:v>408.41</c:v>
                </c:pt>
                <c:pt idx="3">
                  <c:v>344.66</c:v>
                </c:pt>
                <c:pt idx="4">
                  <c:v>322.70999999999998</c:v>
                </c:pt>
                <c:pt idx="5">
                  <c:v>308.22000000000003</c:v>
                </c:pt>
                <c:pt idx="6">
                  <c:v>271.55</c:v>
                </c:pt>
                <c:pt idx="7">
                  <c:v>251.11</c:v>
                </c:pt>
                <c:pt idx="8">
                  <c:v>238.78</c:v>
                </c:pt>
                <c:pt idx="9">
                  <c:v>231.52</c:v>
                </c:pt>
              </c:numCache>
            </c:numRef>
          </c:val>
        </c:ser>
        <c:axId val="73596288"/>
        <c:axId val="74126464"/>
      </c:barChart>
      <c:catAx>
        <c:axId val="73596288"/>
        <c:scaling>
          <c:orientation val="minMax"/>
        </c:scaling>
        <c:axPos val="b"/>
        <c:numFmt formatCode="General" sourceLinked="0"/>
        <c:tickLblPos val="nextTo"/>
        <c:spPr>
          <a:ln w="3175">
            <a:solidFill>
              <a:srgbClr val="000000"/>
            </a:solidFill>
            <a:prstDash val="solid"/>
          </a:ln>
        </c:spPr>
        <c:txPr>
          <a:bodyPr rot="-5400000" vert="horz"/>
          <a:lstStyle/>
          <a:p>
            <a:pPr>
              <a:defRPr sz="850" b="0" i="0" u="none" strike="noStrike" baseline="0">
                <a:solidFill>
                  <a:srgbClr val="000000"/>
                </a:solidFill>
                <a:latin typeface="Arial"/>
                <a:ea typeface="Arial"/>
                <a:cs typeface="Arial"/>
              </a:defRPr>
            </a:pPr>
            <a:endParaRPr lang="en-US"/>
          </a:p>
        </c:txPr>
        <c:crossAx val="74126464"/>
        <c:crosses val="autoZero"/>
        <c:auto val="1"/>
        <c:lblAlgn val="ctr"/>
        <c:lblOffset val="100"/>
        <c:tickLblSkip val="1"/>
        <c:tickMarkSkip val="1"/>
      </c:catAx>
      <c:valAx>
        <c:axId val="74126464"/>
        <c:scaling>
          <c:orientation val="minMax"/>
        </c:scaling>
        <c:axPos val="l"/>
        <c:numFmt formatCode="0.00" sourceLinked="1"/>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73596288"/>
        <c:crosses val="autoZero"/>
        <c:crossBetween val="between"/>
      </c:valAx>
      <c:spPr>
        <a:solidFill>
          <a:srgbClr val="33CCCC"/>
        </a:solidFill>
        <a:ln w="12700">
          <a:solidFill>
            <a:srgbClr val="808080"/>
          </a:solidFill>
          <a:prstDash val="solid"/>
        </a:ln>
      </c:spPr>
    </c:plotArea>
    <c:plotVisOnly val="1"/>
    <c:dispBlanksAs val="gap"/>
  </c:chart>
  <c:spPr>
    <a:solidFill>
      <a:srgbClr val="FFFFFF"/>
    </a:solidFill>
    <a:ln w="3175">
      <a:solidFill>
        <a:srgbClr val="000000"/>
      </a:solidFill>
      <a:prstDash val="solid"/>
    </a:ln>
  </c:spPr>
  <c:txPr>
    <a:bodyPr/>
    <a:lstStyle/>
    <a:p>
      <a:pPr>
        <a:defRPr sz="1625" b="0" i="0" u="none" strike="noStrike" baseline="0">
          <a:solidFill>
            <a:srgbClr val="000000"/>
          </a:solidFill>
          <a:latin typeface="Arial"/>
          <a:ea typeface="Arial"/>
          <a:cs typeface="Arial"/>
        </a:defRPr>
      </a:pPr>
      <a:endParaRPr lang="en-US"/>
    </a:p>
  </c:txPr>
  <c:printSettings>
    <c:headerFooter alignWithMargins="0"/>
    <c:pageMargins b="1" l="0.75000000000001465" r="0.75000000000001465" t="1" header="0.5" footer="0.5"/>
    <c:pageSetup orientation="landscape" horizontalDpi="180" verticalDpi="180"/>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8.9722746835130526E-2"/>
          <c:y val="4.1275797373358347E-2"/>
          <c:w val="0.89233350034211556"/>
          <c:h val="0.46716697936212348"/>
        </c:manualLayout>
      </c:layout>
      <c:barChart>
        <c:barDir val="col"/>
        <c:grouping val="clustered"/>
        <c:ser>
          <c:idx val="0"/>
          <c:order val="0"/>
          <c:spPr>
            <a:solidFill>
              <a:srgbClr val="FF0000"/>
            </a:solidFill>
            <a:ln w="12700">
              <a:solidFill>
                <a:srgbClr val="000000"/>
              </a:solidFill>
              <a:prstDash val="solid"/>
            </a:ln>
          </c:spPr>
          <c:cat>
            <c:multiLvlStrRef>
              <c:f>'Top Ten'!$B$40:$C$49</c:f>
              <c:multiLvlStrCache>
                <c:ptCount val="10"/>
                <c:lvl>
                  <c:pt idx="0">
                    <c:v>Nabil Balance Fund 1</c:v>
                  </c:pt>
                  <c:pt idx="1">
                    <c:v>Nepal Bank Limited</c:v>
                  </c:pt>
                  <c:pt idx="2">
                    <c:v>Nepal Bangladesh Bank Ltd.</c:v>
                  </c:pt>
                  <c:pt idx="3">
                    <c:v>Kist Bank Ltd.</c:v>
                  </c:pt>
                  <c:pt idx="4">
                    <c:v>Kumari Bank Ltd</c:v>
                  </c:pt>
                  <c:pt idx="5">
                    <c:v>Nepal Credit And Com. Bank</c:v>
                  </c:pt>
                  <c:pt idx="6">
                    <c:v>Siddhartha Inv. Growth Scheme-1</c:v>
                  </c:pt>
                  <c:pt idx="7">
                    <c:v>Sanima Bank Ltd.</c:v>
                  </c:pt>
                  <c:pt idx="8">
                    <c:v>Machhapuchhre Bank Ltd.</c:v>
                  </c:pt>
                  <c:pt idx="9">
                    <c:v>Agriculture Development Bank </c:v>
                  </c:pt>
                </c:lvl>
                <c:lvl>
                  <c:pt idx="0">
                    <c:v>1</c:v>
                  </c:pt>
                  <c:pt idx="1">
                    <c:v>2</c:v>
                  </c:pt>
                  <c:pt idx="2">
                    <c:v>3</c:v>
                  </c:pt>
                  <c:pt idx="3">
                    <c:v>4</c:v>
                  </c:pt>
                  <c:pt idx="4">
                    <c:v>5</c:v>
                  </c:pt>
                  <c:pt idx="5">
                    <c:v>6</c:v>
                  </c:pt>
                  <c:pt idx="6">
                    <c:v>7</c:v>
                  </c:pt>
                  <c:pt idx="7">
                    <c:v>8</c:v>
                  </c:pt>
                  <c:pt idx="8">
                    <c:v>9</c:v>
                  </c:pt>
                  <c:pt idx="9">
                    <c:v>10</c:v>
                  </c:pt>
                </c:lvl>
              </c:multiLvlStrCache>
            </c:multiLvlStrRef>
          </c:cat>
          <c:val>
            <c:numRef>
              <c:f>'Top Ten'!$D$40:$D$49</c:f>
              <c:numCache>
                <c:formatCode>0.00</c:formatCode>
                <c:ptCount val="10"/>
                <c:pt idx="0">
                  <c:v>1672.61</c:v>
                </c:pt>
                <c:pt idx="1">
                  <c:v>1624.74</c:v>
                </c:pt>
                <c:pt idx="2">
                  <c:v>1099.3900000000001</c:v>
                </c:pt>
                <c:pt idx="3">
                  <c:v>888.89</c:v>
                </c:pt>
                <c:pt idx="4">
                  <c:v>779.61</c:v>
                </c:pt>
                <c:pt idx="5">
                  <c:v>732.86</c:v>
                </c:pt>
                <c:pt idx="6">
                  <c:v>730.77</c:v>
                </c:pt>
                <c:pt idx="7">
                  <c:v>635.04999999999995</c:v>
                </c:pt>
                <c:pt idx="8">
                  <c:v>539.49</c:v>
                </c:pt>
                <c:pt idx="9">
                  <c:v>530.36</c:v>
                </c:pt>
              </c:numCache>
            </c:numRef>
          </c:val>
        </c:ser>
        <c:axId val="74166272"/>
        <c:axId val="74167808"/>
      </c:barChart>
      <c:catAx>
        <c:axId val="74166272"/>
        <c:scaling>
          <c:orientation val="minMax"/>
        </c:scaling>
        <c:axPos val="b"/>
        <c:numFmt formatCode="General" sourceLinked="1"/>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en-US"/>
          </a:p>
        </c:txPr>
        <c:crossAx val="74167808"/>
        <c:crosses val="autoZero"/>
        <c:auto val="1"/>
        <c:lblAlgn val="ctr"/>
        <c:lblOffset val="100"/>
        <c:tickLblSkip val="1"/>
        <c:tickMarkSkip val="1"/>
      </c:catAx>
      <c:valAx>
        <c:axId val="74167808"/>
        <c:scaling>
          <c:orientation val="minMax"/>
        </c:scaling>
        <c:axPos val="l"/>
        <c:numFmt formatCode="0.00" sourceLinked="1"/>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74166272"/>
        <c:crosses val="autoZero"/>
        <c:crossBetween val="between"/>
      </c:valAx>
      <c:spPr>
        <a:solidFill>
          <a:srgbClr val="33CCCC"/>
        </a:solidFill>
        <a:ln w="12700">
          <a:solidFill>
            <a:srgbClr val="0000FF"/>
          </a:solidFill>
          <a:prstDash val="solid"/>
        </a:ln>
      </c:spPr>
    </c:plotArea>
    <c:plotVisOnly val="1"/>
    <c:dispBlanksAs val="gap"/>
  </c:chart>
  <c:spPr>
    <a:solidFill>
      <a:srgbClr val="FFFFFF"/>
    </a:solidFill>
    <a:ln w="3175">
      <a:solidFill>
        <a:srgbClr val="000000"/>
      </a:solidFill>
      <a:prstDash val="solid"/>
    </a:ln>
  </c:spPr>
  <c:txPr>
    <a:bodyPr/>
    <a:lstStyle/>
    <a:p>
      <a:pPr>
        <a:defRPr sz="1625" b="0" i="0" u="none" strike="noStrike" baseline="0">
          <a:solidFill>
            <a:srgbClr val="000000"/>
          </a:solidFill>
          <a:latin typeface="Arial"/>
          <a:ea typeface="Arial"/>
          <a:cs typeface="Arial"/>
        </a:defRPr>
      </a:pPr>
      <a:endParaRPr lang="en-US"/>
    </a:p>
  </c:txPr>
  <c:printSettings>
    <c:headerFooter alignWithMargins="0"/>
    <c:pageMargins b="1" l="0.75000000000001465" r="0.75000000000001465" t="1" header="0.5" footer="0.5"/>
    <c:pageSetup orientation="landscape" horizontalDpi="180" verticalDpi="180"/>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7.5782598028372034E-2"/>
          <c:y val="3.896103896103896E-2"/>
          <c:w val="0.89456414629142456"/>
          <c:h val="0.53617810760667961"/>
        </c:manualLayout>
      </c:layout>
      <c:barChart>
        <c:barDir val="col"/>
        <c:grouping val="clustered"/>
        <c:ser>
          <c:idx val="0"/>
          <c:order val="0"/>
          <c:spPr>
            <a:solidFill>
              <a:srgbClr val="FF0000"/>
            </a:solidFill>
            <a:ln w="12700">
              <a:solidFill>
                <a:srgbClr val="000000"/>
              </a:solidFill>
              <a:prstDash val="solid"/>
            </a:ln>
          </c:spPr>
          <c:cat>
            <c:multiLvlStrRef>
              <c:f>'Top Ten'!$B$84:$C$93</c:f>
              <c:multiLvlStrCache>
                <c:ptCount val="10"/>
                <c:lvl>
                  <c:pt idx="0">
                    <c:v>Mega Bank Nepal Ltd.</c:v>
                  </c:pt>
                  <c:pt idx="1">
                    <c:v>Agriculture Development Bank Limited</c:v>
                  </c:pt>
                  <c:pt idx="2">
                    <c:v>Nepal Bangladesh Bank Ltd.</c:v>
                  </c:pt>
                  <c:pt idx="3">
                    <c:v>NIC Asia Bank Ltd.</c:v>
                  </c:pt>
                  <c:pt idx="4">
                    <c:v>Rural Microfinance Dev Centre Ltd.</c:v>
                  </c:pt>
                  <c:pt idx="5">
                    <c:v>Nepal Bank Limited</c:v>
                  </c:pt>
                  <c:pt idx="6">
                    <c:v>Kumari Bank Ltd</c:v>
                  </c:pt>
                  <c:pt idx="7">
                    <c:v>Apex Development Bank Ltd.</c:v>
                  </c:pt>
                  <c:pt idx="8">
                    <c:v>Sana Kisan Bikas Bank Ltd</c:v>
                  </c:pt>
                  <c:pt idx="9">
                    <c:v>Nepal Credit And Com. Bank</c:v>
                  </c:pt>
                </c:lvl>
                <c:lvl>
                  <c:pt idx="0">
                    <c:v>1</c:v>
                  </c:pt>
                  <c:pt idx="1">
                    <c:v>2</c:v>
                  </c:pt>
                  <c:pt idx="2">
                    <c:v>3</c:v>
                  </c:pt>
                  <c:pt idx="3">
                    <c:v>4</c:v>
                  </c:pt>
                  <c:pt idx="4">
                    <c:v>5</c:v>
                  </c:pt>
                  <c:pt idx="5">
                    <c:v>6</c:v>
                  </c:pt>
                  <c:pt idx="6">
                    <c:v>7</c:v>
                  </c:pt>
                  <c:pt idx="7">
                    <c:v>8</c:v>
                  </c:pt>
                  <c:pt idx="8">
                    <c:v>9</c:v>
                  </c:pt>
                  <c:pt idx="9">
                    <c:v>10</c:v>
                  </c:pt>
                </c:lvl>
              </c:multiLvlStrCache>
            </c:multiLvlStrRef>
          </c:cat>
          <c:val>
            <c:numRef>
              <c:f>'Top Ten'!$D$84:$D$93</c:f>
              <c:numCache>
                <c:formatCode>General</c:formatCode>
                <c:ptCount val="10"/>
                <c:pt idx="0">
                  <c:v>3063</c:v>
                </c:pt>
                <c:pt idx="1">
                  <c:v>2937</c:v>
                </c:pt>
                <c:pt idx="2">
                  <c:v>2184</c:v>
                </c:pt>
                <c:pt idx="3">
                  <c:v>1742</c:v>
                </c:pt>
                <c:pt idx="4">
                  <c:v>1723</c:v>
                </c:pt>
                <c:pt idx="5">
                  <c:v>1684</c:v>
                </c:pt>
                <c:pt idx="6">
                  <c:v>1622</c:v>
                </c:pt>
                <c:pt idx="7">
                  <c:v>1620</c:v>
                </c:pt>
                <c:pt idx="8">
                  <c:v>1577</c:v>
                </c:pt>
                <c:pt idx="9">
                  <c:v>1472</c:v>
                </c:pt>
              </c:numCache>
            </c:numRef>
          </c:val>
        </c:ser>
        <c:axId val="74326400"/>
        <c:axId val="74327936"/>
      </c:barChart>
      <c:catAx>
        <c:axId val="74326400"/>
        <c:scaling>
          <c:orientation val="minMax"/>
        </c:scaling>
        <c:axPos val="b"/>
        <c:numFmt formatCode="General" sourceLinked="1"/>
        <c:tickLblPos val="nextTo"/>
        <c:spPr>
          <a:ln w="3175">
            <a:solidFill>
              <a:srgbClr val="000000"/>
            </a:solidFill>
            <a:prstDash val="solid"/>
          </a:ln>
        </c:spPr>
        <c:txPr>
          <a:bodyPr rot="-5400000" vert="horz"/>
          <a:lstStyle/>
          <a:p>
            <a:pPr>
              <a:defRPr sz="875" b="0" i="0" u="none" strike="noStrike" baseline="0">
                <a:solidFill>
                  <a:srgbClr val="000000"/>
                </a:solidFill>
                <a:latin typeface="Arial"/>
                <a:ea typeface="Arial"/>
                <a:cs typeface="Arial"/>
              </a:defRPr>
            </a:pPr>
            <a:endParaRPr lang="en-US"/>
          </a:p>
        </c:txPr>
        <c:crossAx val="74327936"/>
        <c:crosses val="autoZero"/>
        <c:auto val="1"/>
        <c:lblAlgn val="ctr"/>
        <c:lblOffset val="100"/>
        <c:tickLblSkip val="1"/>
        <c:tickMarkSkip val="1"/>
      </c:catAx>
      <c:valAx>
        <c:axId val="74327936"/>
        <c:scaling>
          <c:orientation val="minMax"/>
        </c:scaling>
        <c:axPos val="l"/>
        <c:numFmt formatCode="General" sourceLinked="1"/>
        <c:tickLblPos val="nextTo"/>
        <c:spPr>
          <a:ln w="3175">
            <a:solidFill>
              <a:srgbClr val="000000"/>
            </a:solidFill>
            <a:prstDash val="solid"/>
          </a:ln>
        </c:spPr>
        <c:txPr>
          <a:bodyPr rot="0" vert="horz"/>
          <a:lstStyle/>
          <a:p>
            <a:pPr>
              <a:defRPr sz="950" b="0" i="0" u="none" strike="noStrike" baseline="0">
                <a:solidFill>
                  <a:srgbClr val="000000"/>
                </a:solidFill>
                <a:latin typeface="Arial"/>
                <a:ea typeface="Arial"/>
                <a:cs typeface="Arial"/>
              </a:defRPr>
            </a:pPr>
            <a:endParaRPr lang="en-US"/>
          </a:p>
        </c:txPr>
        <c:crossAx val="74326400"/>
        <c:crosses val="autoZero"/>
        <c:crossBetween val="between"/>
      </c:valAx>
      <c:spPr>
        <a:solidFill>
          <a:srgbClr val="33CCCC"/>
        </a:solidFill>
        <a:ln w="12700">
          <a:solidFill>
            <a:srgbClr val="808080"/>
          </a:solidFill>
          <a:prstDash val="solid"/>
        </a:ln>
      </c:spPr>
    </c:plotArea>
    <c:plotVisOnly val="1"/>
    <c:dispBlanksAs val="gap"/>
  </c:chart>
  <c:spPr>
    <a:solidFill>
      <a:srgbClr val="FFFFFF"/>
    </a:solidFill>
    <a:ln w="3175">
      <a:solidFill>
        <a:srgbClr val="000000"/>
      </a:solidFill>
      <a:prstDash val="solid"/>
    </a:ln>
  </c:spPr>
  <c:txPr>
    <a:bodyPr/>
    <a:lstStyle/>
    <a:p>
      <a:pPr>
        <a:defRPr sz="1625" b="0" i="0" u="none" strike="noStrike" baseline="0">
          <a:solidFill>
            <a:srgbClr val="000000"/>
          </a:solidFill>
          <a:latin typeface="Arial"/>
          <a:ea typeface="Arial"/>
          <a:cs typeface="Arial"/>
        </a:defRPr>
      </a:pPr>
      <a:endParaRPr lang="en-US"/>
    </a:p>
  </c:txPr>
  <c:printSettings>
    <c:headerFooter alignWithMargins="0"/>
    <c:pageMargins b="1" l="0.75000000000001465" r="0.75000000000001465" t="1" header="0.5" footer="0.5"/>
    <c:pageSetup orientation="landscape" horizontalDpi="180" verticalDpi="180"/>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11442804601349699"/>
          <c:y val="5.9674555403194357E-2"/>
          <c:w val="0.8673314212327381"/>
          <c:h val="0.3688972515833836"/>
        </c:manualLayout>
      </c:layout>
      <c:barChart>
        <c:barDir val="col"/>
        <c:grouping val="clustered"/>
        <c:ser>
          <c:idx val="0"/>
          <c:order val="0"/>
          <c:spPr>
            <a:solidFill>
              <a:srgbClr val="FF0000"/>
            </a:solidFill>
            <a:ln w="12700">
              <a:solidFill>
                <a:srgbClr val="000000"/>
              </a:solidFill>
              <a:prstDash val="solid"/>
            </a:ln>
          </c:spPr>
          <c:cat>
            <c:multiLvlStrRef>
              <c:f>'Top Ten'!$B$127:$C$136</c:f>
              <c:multiLvlStrCache>
                <c:ptCount val="10"/>
                <c:lvl>
                  <c:pt idx="0">
                    <c:v>Nepal Doorsanchar Company Limited</c:v>
                  </c:pt>
                  <c:pt idx="1">
                    <c:v>Nabil Bank Ltd.</c:v>
                  </c:pt>
                  <c:pt idx="2">
                    <c:v>Nepal Investment Bank Ltd.</c:v>
                  </c:pt>
                  <c:pt idx="3">
                    <c:v>Standard Chartered Bank Ltd.</c:v>
                  </c:pt>
                  <c:pt idx="4">
                    <c:v>Everest Bank Ltd</c:v>
                  </c:pt>
                  <c:pt idx="5">
                    <c:v>Chilime Hydro power Co.</c:v>
                  </c:pt>
                  <c:pt idx="6">
                    <c:v>Nepal SBI Bank Limited</c:v>
                  </c:pt>
                  <c:pt idx="7">
                    <c:v>Himalayan Bank Ltd.</c:v>
                  </c:pt>
                  <c:pt idx="8">
                    <c:v>Nepal Life Insurance Co. Ltd.</c:v>
                  </c:pt>
                  <c:pt idx="9">
                    <c:v>NIC Asia Bank Ltd</c:v>
                  </c:pt>
                </c:lvl>
                <c:lvl>
                  <c:pt idx="0">
                    <c:v>1</c:v>
                  </c:pt>
                  <c:pt idx="1">
                    <c:v>2</c:v>
                  </c:pt>
                  <c:pt idx="2">
                    <c:v>3</c:v>
                  </c:pt>
                  <c:pt idx="3">
                    <c:v>4</c:v>
                  </c:pt>
                  <c:pt idx="4">
                    <c:v>5</c:v>
                  </c:pt>
                  <c:pt idx="5">
                    <c:v>6</c:v>
                  </c:pt>
                  <c:pt idx="6">
                    <c:v>7</c:v>
                  </c:pt>
                  <c:pt idx="7">
                    <c:v>8</c:v>
                  </c:pt>
                  <c:pt idx="8">
                    <c:v>9</c:v>
                  </c:pt>
                  <c:pt idx="9">
                    <c:v>10</c:v>
                  </c:pt>
                </c:lvl>
              </c:multiLvlStrCache>
            </c:multiLvlStrRef>
          </c:cat>
          <c:val>
            <c:numRef>
              <c:f>'Top Ten'!$D$127:$D$136</c:f>
              <c:numCache>
                <c:formatCode>0.00</c:formatCode>
                <c:ptCount val="10"/>
                <c:pt idx="0">
                  <c:v>10500</c:v>
                </c:pt>
                <c:pt idx="1">
                  <c:v>67622.350000000006</c:v>
                </c:pt>
                <c:pt idx="2">
                  <c:v>41862.57</c:v>
                </c:pt>
                <c:pt idx="3">
                  <c:v>39786.547899999998</c:v>
                </c:pt>
                <c:pt idx="4">
                  <c:v>38923.3819</c:v>
                </c:pt>
                <c:pt idx="5">
                  <c:v>34320.249600000003</c:v>
                </c:pt>
                <c:pt idx="6">
                  <c:v>29528.004225000001</c:v>
                </c:pt>
                <c:pt idx="7">
                  <c:v>24564</c:v>
                </c:pt>
                <c:pt idx="8">
                  <c:v>22631.25</c:v>
                </c:pt>
                <c:pt idx="9">
                  <c:v>18816.03328</c:v>
                </c:pt>
              </c:numCache>
            </c:numRef>
          </c:val>
        </c:ser>
        <c:axId val="74351360"/>
        <c:axId val="74352896"/>
      </c:barChart>
      <c:catAx>
        <c:axId val="74351360"/>
        <c:scaling>
          <c:orientation val="minMax"/>
        </c:scaling>
        <c:axPos val="b"/>
        <c:numFmt formatCode="General" sourceLinked="1"/>
        <c:tickLblPos val="nextTo"/>
        <c:spPr>
          <a:ln w="3175">
            <a:solidFill>
              <a:srgbClr val="000000"/>
            </a:solidFill>
            <a:prstDash val="solid"/>
          </a:ln>
        </c:spPr>
        <c:txPr>
          <a:bodyPr rot="-5400000" vert="horz"/>
          <a:lstStyle/>
          <a:p>
            <a:pPr>
              <a:defRPr sz="925" b="0" i="0" u="none" strike="noStrike" baseline="0">
                <a:solidFill>
                  <a:srgbClr val="000000"/>
                </a:solidFill>
                <a:latin typeface="Arial"/>
                <a:ea typeface="Arial"/>
                <a:cs typeface="Arial"/>
              </a:defRPr>
            </a:pPr>
            <a:endParaRPr lang="en-US"/>
          </a:p>
        </c:txPr>
        <c:crossAx val="74352896"/>
        <c:crosses val="autoZero"/>
        <c:auto val="1"/>
        <c:lblAlgn val="ctr"/>
        <c:lblOffset val="100"/>
        <c:tickLblSkip val="1"/>
        <c:tickMarkSkip val="1"/>
      </c:catAx>
      <c:valAx>
        <c:axId val="74352896"/>
        <c:scaling>
          <c:orientation val="minMax"/>
        </c:scaling>
        <c:axPos val="l"/>
        <c:numFmt formatCode="0.00" sourceLinked="1"/>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74351360"/>
        <c:crosses val="autoZero"/>
        <c:crossBetween val="between"/>
      </c:valAx>
      <c:spPr>
        <a:solidFill>
          <a:srgbClr val="33CCCC"/>
        </a:solidFill>
        <a:ln w="12700">
          <a:solidFill>
            <a:srgbClr val="808080"/>
          </a:solidFill>
          <a:prstDash val="solid"/>
        </a:ln>
      </c:spPr>
    </c:plotArea>
    <c:plotVisOnly val="1"/>
    <c:dispBlanksAs val="gap"/>
  </c:chart>
  <c:spPr>
    <a:solidFill>
      <a:srgbClr val="FFFFFF"/>
    </a:solidFill>
    <a:ln w="3175">
      <a:solidFill>
        <a:srgbClr val="000000"/>
      </a:solidFill>
      <a:prstDash val="solid"/>
    </a:ln>
  </c:spPr>
  <c:txPr>
    <a:bodyPr/>
    <a:lstStyle/>
    <a:p>
      <a:pPr>
        <a:defRPr sz="900" b="0" i="0" u="none" strike="noStrike" baseline="0">
          <a:solidFill>
            <a:srgbClr val="000000"/>
          </a:solidFill>
          <a:latin typeface="Arial"/>
          <a:ea typeface="Arial"/>
          <a:cs typeface="Arial"/>
        </a:defRPr>
      </a:pPr>
      <a:endParaRPr lang="en-US"/>
    </a:p>
  </c:txPr>
  <c:printSettings>
    <c:headerFooter alignWithMargins="0"/>
    <c:pageMargins b="1" l="0.75000000000001465" r="0.75000000000001465" t="1" header="0.5" footer="0.5"/>
    <c:pageSetup orientation="landscape" horizontalDpi="300" verticalDpi="300"/>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266700</xdr:colOff>
      <xdr:row>16</xdr:row>
      <xdr:rowOff>85725</xdr:rowOff>
    </xdr:from>
    <xdr:to>
      <xdr:col>4</xdr:col>
      <xdr:colOff>0</xdr:colOff>
      <xdr:row>35</xdr:row>
      <xdr:rowOff>142875</xdr:rowOff>
    </xdr:to>
    <xdr:graphicFrame macro="">
      <xdr:nvGraphicFramePr>
        <xdr:cNvPr id="4265810"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50</xdr:row>
      <xdr:rowOff>66675</xdr:rowOff>
    </xdr:from>
    <xdr:to>
      <xdr:col>4</xdr:col>
      <xdr:colOff>0</xdr:colOff>
      <xdr:row>78</xdr:row>
      <xdr:rowOff>133350</xdr:rowOff>
    </xdr:to>
    <xdr:graphicFrame macro="">
      <xdr:nvGraphicFramePr>
        <xdr:cNvPr id="4265811"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96</xdr:row>
      <xdr:rowOff>57150</xdr:rowOff>
    </xdr:from>
    <xdr:to>
      <xdr:col>4</xdr:col>
      <xdr:colOff>19051</xdr:colOff>
      <xdr:row>119</xdr:row>
      <xdr:rowOff>57151</xdr:rowOff>
    </xdr:to>
    <xdr:graphicFrame macro="">
      <xdr:nvGraphicFramePr>
        <xdr:cNvPr id="426581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180975</xdr:colOff>
      <xdr:row>137</xdr:row>
      <xdr:rowOff>47625</xdr:rowOff>
    </xdr:from>
    <xdr:to>
      <xdr:col>3</xdr:col>
      <xdr:colOff>1924050</xdr:colOff>
      <xdr:row>164</xdr:row>
      <xdr:rowOff>142875</xdr:rowOff>
    </xdr:to>
    <xdr:graphicFrame macro="">
      <xdr:nvGraphicFramePr>
        <xdr:cNvPr id="4265813"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AppData/Local/Temp/Poush-23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umulative data"/>
      <sheetName val="Back year's Summary"/>
      <sheetName val="Summary Sheet"/>
      <sheetName val="Companywise Transaction"/>
      <sheetName val="Transaction of Promotor share"/>
      <sheetName val="Market Capitalization"/>
      <sheetName val="Index"/>
      <sheetName val="Sensitive M.Cap"/>
      <sheetName val=" Sensitive Index"/>
      <sheetName val="Float Index"/>
      <sheetName val="Closing Price"/>
      <sheetName val="Top Ten"/>
    </sheetNames>
    <sheetDataSet>
      <sheetData sheetId="0" refreshError="1"/>
      <sheetData sheetId="1" refreshError="1"/>
      <sheetData sheetId="2">
        <row r="8">
          <cell r="F8">
            <v>5484.46</v>
          </cell>
          <cell r="G8">
            <v>1884.8899999999999</v>
          </cell>
        </row>
        <row r="9">
          <cell r="F9">
            <v>3952.58</v>
          </cell>
          <cell r="G9">
            <v>1412.55</v>
          </cell>
        </row>
        <row r="10">
          <cell r="F10">
            <v>294.31</v>
          </cell>
          <cell r="G10">
            <v>42.72</v>
          </cell>
        </row>
        <row r="11">
          <cell r="F11">
            <v>33.85</v>
          </cell>
          <cell r="G11">
            <v>9.2200000000000006</v>
          </cell>
        </row>
        <row r="12">
          <cell r="F12">
            <v>0.33</v>
          </cell>
          <cell r="G12">
            <v>0.75</v>
          </cell>
        </row>
        <row r="13">
          <cell r="F13">
            <v>90.9</v>
          </cell>
          <cell r="G13">
            <v>60.07</v>
          </cell>
        </row>
        <row r="14">
          <cell r="F14">
            <v>199.67</v>
          </cell>
          <cell r="G14">
            <v>173.8</v>
          </cell>
        </row>
        <row r="15">
          <cell r="F15">
            <v>0</v>
          </cell>
          <cell r="G15">
            <v>0</v>
          </cell>
        </row>
        <row r="16">
          <cell r="F16">
            <v>185.4</v>
          </cell>
          <cell r="G16">
            <v>78.73</v>
          </cell>
        </row>
        <row r="17">
          <cell r="F17">
            <v>549.07000000000005</v>
          </cell>
          <cell r="G17">
            <v>74.88</v>
          </cell>
        </row>
        <row r="18">
          <cell r="F18">
            <v>1.1000000000000001</v>
          </cell>
          <cell r="G18">
            <v>0.03</v>
          </cell>
        </row>
        <row r="19">
          <cell r="F19">
            <v>0.54</v>
          </cell>
          <cell r="G19">
            <v>0.38</v>
          </cell>
        </row>
        <row r="20">
          <cell r="F20">
            <v>176.71</v>
          </cell>
          <cell r="G20">
            <v>31.76</v>
          </cell>
        </row>
        <row r="23">
          <cell r="F23">
            <v>19</v>
          </cell>
        </row>
        <row r="24">
          <cell r="F24">
            <v>288.65578947368419</v>
          </cell>
          <cell r="G24">
            <v>99.204736842105262</v>
          </cell>
        </row>
        <row r="25">
          <cell r="F25">
            <v>24683</v>
          </cell>
        </row>
        <row r="26">
          <cell r="F26">
            <v>144</v>
          </cell>
        </row>
        <row r="27">
          <cell r="F27">
            <v>221</v>
          </cell>
        </row>
        <row r="28">
          <cell r="G28">
            <v>113971</v>
          </cell>
        </row>
        <row r="29">
          <cell r="F29">
            <v>1178912</v>
          </cell>
        </row>
        <row r="30">
          <cell r="G30">
            <v>471521.04</v>
          </cell>
        </row>
        <row r="32">
          <cell r="G32">
            <v>501.52</v>
          </cell>
        </row>
        <row r="33">
          <cell r="G33">
            <v>481.94</v>
          </cell>
        </row>
        <row r="34">
          <cell r="G34">
            <v>497.24</v>
          </cell>
        </row>
        <row r="35">
          <cell r="G35">
            <v>412442.43</v>
          </cell>
        </row>
        <row r="37">
          <cell r="G37">
            <v>127.25</v>
          </cell>
        </row>
        <row r="38">
          <cell r="G38">
            <v>122.82</v>
          </cell>
        </row>
        <row r="39">
          <cell r="G39">
            <v>126.51</v>
          </cell>
        </row>
        <row r="41">
          <cell r="G41">
            <v>35.49</v>
          </cell>
        </row>
        <row r="42">
          <cell r="G42">
            <v>34.28</v>
          </cell>
        </row>
        <row r="43">
          <cell r="G43">
            <v>34.979999999999997</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dimension ref="A1:N44"/>
  <sheetViews>
    <sheetView topLeftCell="A4" zoomScale="90" zoomScaleNormal="90" workbookViewId="0">
      <selection activeCell="I26" sqref="I26"/>
    </sheetView>
  </sheetViews>
  <sheetFormatPr defaultRowHeight="12.75"/>
  <cols>
    <col min="1" max="1" width="2.7109375" style="57" customWidth="1"/>
    <col min="2" max="2" width="5.5703125" style="57" customWidth="1"/>
    <col min="3" max="3" width="36.42578125" style="57" bestFit="1" customWidth="1"/>
    <col min="4" max="4" width="12.7109375" style="57" customWidth="1"/>
    <col min="5" max="5" width="13.140625" style="57" customWidth="1"/>
    <col min="6" max="6" width="11.5703125" style="57" bestFit="1" customWidth="1"/>
    <col min="7" max="7" width="14.28515625" style="57" customWidth="1"/>
    <col min="8" max="8" width="7.85546875" style="57" bestFit="1" customWidth="1"/>
    <col min="9" max="9" width="11.5703125" style="57" bestFit="1" customWidth="1"/>
    <col min="10" max="10" width="13.85546875" style="57" customWidth="1"/>
    <col min="11" max="11" width="8.7109375" style="57" bestFit="1" customWidth="1"/>
    <col min="12" max="256" width="9.140625" style="57"/>
    <col min="257" max="257" width="2.7109375" style="57" customWidth="1"/>
    <col min="258" max="258" width="5.5703125" style="57" customWidth="1"/>
    <col min="259" max="259" width="36.42578125" style="57" bestFit="1" customWidth="1"/>
    <col min="260" max="260" width="12.7109375" style="57" customWidth="1"/>
    <col min="261" max="261" width="13.140625" style="57" customWidth="1"/>
    <col min="262" max="262" width="11.5703125" style="57" bestFit="1" customWidth="1"/>
    <col min="263" max="263" width="14.28515625" style="57" customWidth="1"/>
    <col min="264" max="264" width="7.85546875" style="57" bestFit="1" customWidth="1"/>
    <col min="265" max="265" width="11.5703125" style="57" bestFit="1" customWidth="1"/>
    <col min="266" max="266" width="13.85546875" style="57" customWidth="1"/>
    <col min="267" max="267" width="8.7109375" style="57" bestFit="1" customWidth="1"/>
    <col min="268" max="512" width="9.140625" style="57"/>
    <col min="513" max="513" width="2.7109375" style="57" customWidth="1"/>
    <col min="514" max="514" width="5.5703125" style="57" customWidth="1"/>
    <col min="515" max="515" width="36.42578125" style="57" bestFit="1" customWidth="1"/>
    <col min="516" max="516" width="12.7109375" style="57" customWidth="1"/>
    <col min="517" max="517" width="13.140625" style="57" customWidth="1"/>
    <col min="518" max="518" width="11.5703125" style="57" bestFit="1" customWidth="1"/>
    <col min="519" max="519" width="14.28515625" style="57" customWidth="1"/>
    <col min="520" max="520" width="7.85546875" style="57" bestFit="1" customWidth="1"/>
    <col min="521" max="521" width="11.5703125" style="57" bestFit="1" customWidth="1"/>
    <col min="522" max="522" width="13.85546875" style="57" customWidth="1"/>
    <col min="523" max="523" width="8.7109375" style="57" bestFit="1" customWidth="1"/>
    <col min="524" max="768" width="9.140625" style="57"/>
    <col min="769" max="769" width="2.7109375" style="57" customWidth="1"/>
    <col min="770" max="770" width="5.5703125" style="57" customWidth="1"/>
    <col min="771" max="771" width="36.42578125" style="57" bestFit="1" customWidth="1"/>
    <col min="772" max="772" width="12.7109375" style="57" customWidth="1"/>
    <col min="773" max="773" width="13.140625" style="57" customWidth="1"/>
    <col min="774" max="774" width="11.5703125" style="57" bestFit="1" customWidth="1"/>
    <col min="775" max="775" width="14.28515625" style="57" customWidth="1"/>
    <col min="776" max="776" width="7.85546875" style="57" bestFit="1" customWidth="1"/>
    <col min="777" max="777" width="11.5703125" style="57" bestFit="1" customWidth="1"/>
    <col min="778" max="778" width="13.85546875" style="57" customWidth="1"/>
    <col min="779" max="779" width="8.7109375" style="57" bestFit="1" customWidth="1"/>
    <col min="780" max="1024" width="9.140625" style="57"/>
    <col min="1025" max="1025" width="2.7109375" style="57" customWidth="1"/>
    <col min="1026" max="1026" width="5.5703125" style="57" customWidth="1"/>
    <col min="1027" max="1027" width="36.42578125" style="57" bestFit="1" customWidth="1"/>
    <col min="1028" max="1028" width="12.7109375" style="57" customWidth="1"/>
    <col min="1029" max="1029" width="13.140625" style="57" customWidth="1"/>
    <col min="1030" max="1030" width="11.5703125" style="57" bestFit="1" customWidth="1"/>
    <col min="1031" max="1031" width="14.28515625" style="57" customWidth="1"/>
    <col min="1032" max="1032" width="7.85546875" style="57" bestFit="1" customWidth="1"/>
    <col min="1033" max="1033" width="11.5703125" style="57" bestFit="1" customWidth="1"/>
    <col min="1034" max="1034" width="13.85546875" style="57" customWidth="1"/>
    <col min="1035" max="1035" width="8.7109375" style="57" bestFit="1" customWidth="1"/>
    <col min="1036" max="1280" width="9.140625" style="57"/>
    <col min="1281" max="1281" width="2.7109375" style="57" customWidth="1"/>
    <col min="1282" max="1282" width="5.5703125" style="57" customWidth="1"/>
    <col min="1283" max="1283" width="36.42578125" style="57" bestFit="1" customWidth="1"/>
    <col min="1284" max="1284" width="12.7109375" style="57" customWidth="1"/>
    <col min="1285" max="1285" width="13.140625" style="57" customWidth="1"/>
    <col min="1286" max="1286" width="11.5703125" style="57" bestFit="1" customWidth="1"/>
    <col min="1287" max="1287" width="14.28515625" style="57" customWidth="1"/>
    <col min="1288" max="1288" width="7.85546875" style="57" bestFit="1" customWidth="1"/>
    <col min="1289" max="1289" width="11.5703125" style="57" bestFit="1" customWidth="1"/>
    <col min="1290" max="1290" width="13.85546875" style="57" customWidth="1"/>
    <col min="1291" max="1291" width="8.7109375" style="57" bestFit="1" customWidth="1"/>
    <col min="1292" max="1536" width="9.140625" style="57"/>
    <col min="1537" max="1537" width="2.7109375" style="57" customWidth="1"/>
    <col min="1538" max="1538" width="5.5703125" style="57" customWidth="1"/>
    <col min="1539" max="1539" width="36.42578125" style="57" bestFit="1" customWidth="1"/>
    <col min="1540" max="1540" width="12.7109375" style="57" customWidth="1"/>
    <col min="1541" max="1541" width="13.140625" style="57" customWidth="1"/>
    <col min="1542" max="1542" width="11.5703125" style="57" bestFit="1" customWidth="1"/>
    <col min="1543" max="1543" width="14.28515625" style="57" customWidth="1"/>
    <col min="1544" max="1544" width="7.85546875" style="57" bestFit="1" customWidth="1"/>
    <col min="1545" max="1545" width="11.5703125" style="57" bestFit="1" customWidth="1"/>
    <col min="1546" max="1546" width="13.85546875" style="57" customWidth="1"/>
    <col min="1547" max="1547" width="8.7109375" style="57" bestFit="1" customWidth="1"/>
    <col min="1548" max="1792" width="9.140625" style="57"/>
    <col min="1793" max="1793" width="2.7109375" style="57" customWidth="1"/>
    <col min="1794" max="1794" width="5.5703125" style="57" customWidth="1"/>
    <col min="1795" max="1795" width="36.42578125" style="57" bestFit="1" customWidth="1"/>
    <col min="1796" max="1796" width="12.7109375" style="57" customWidth="1"/>
    <col min="1797" max="1797" width="13.140625" style="57" customWidth="1"/>
    <col min="1798" max="1798" width="11.5703125" style="57" bestFit="1" customWidth="1"/>
    <col min="1799" max="1799" width="14.28515625" style="57" customWidth="1"/>
    <col min="1800" max="1800" width="7.85546875" style="57" bestFit="1" customWidth="1"/>
    <col min="1801" max="1801" width="11.5703125" style="57" bestFit="1" customWidth="1"/>
    <col min="1802" max="1802" width="13.85546875" style="57" customWidth="1"/>
    <col min="1803" max="1803" width="8.7109375" style="57" bestFit="1" customWidth="1"/>
    <col min="1804" max="2048" width="9.140625" style="57"/>
    <col min="2049" max="2049" width="2.7109375" style="57" customWidth="1"/>
    <col min="2050" max="2050" width="5.5703125" style="57" customWidth="1"/>
    <col min="2051" max="2051" width="36.42578125" style="57" bestFit="1" customWidth="1"/>
    <col min="2052" max="2052" width="12.7109375" style="57" customWidth="1"/>
    <col min="2053" max="2053" width="13.140625" style="57" customWidth="1"/>
    <col min="2054" max="2054" width="11.5703125" style="57" bestFit="1" customWidth="1"/>
    <col min="2055" max="2055" width="14.28515625" style="57" customWidth="1"/>
    <col min="2056" max="2056" width="7.85546875" style="57" bestFit="1" customWidth="1"/>
    <col min="2057" max="2057" width="11.5703125" style="57" bestFit="1" customWidth="1"/>
    <col min="2058" max="2058" width="13.85546875" style="57" customWidth="1"/>
    <col min="2059" max="2059" width="8.7109375" style="57" bestFit="1" customWidth="1"/>
    <col min="2060" max="2304" width="9.140625" style="57"/>
    <col min="2305" max="2305" width="2.7109375" style="57" customWidth="1"/>
    <col min="2306" max="2306" width="5.5703125" style="57" customWidth="1"/>
    <col min="2307" max="2307" width="36.42578125" style="57" bestFit="1" customWidth="1"/>
    <col min="2308" max="2308" width="12.7109375" style="57" customWidth="1"/>
    <col min="2309" max="2309" width="13.140625" style="57" customWidth="1"/>
    <col min="2310" max="2310" width="11.5703125" style="57" bestFit="1" customWidth="1"/>
    <col min="2311" max="2311" width="14.28515625" style="57" customWidth="1"/>
    <col min="2312" max="2312" width="7.85546875" style="57" bestFit="1" customWidth="1"/>
    <col min="2313" max="2313" width="11.5703125" style="57" bestFit="1" customWidth="1"/>
    <col min="2314" max="2314" width="13.85546875" style="57" customWidth="1"/>
    <col min="2315" max="2315" width="8.7109375" style="57" bestFit="1" customWidth="1"/>
    <col min="2316" max="2560" width="9.140625" style="57"/>
    <col min="2561" max="2561" width="2.7109375" style="57" customWidth="1"/>
    <col min="2562" max="2562" width="5.5703125" style="57" customWidth="1"/>
    <col min="2563" max="2563" width="36.42578125" style="57" bestFit="1" customWidth="1"/>
    <col min="2564" max="2564" width="12.7109375" style="57" customWidth="1"/>
    <col min="2565" max="2565" width="13.140625" style="57" customWidth="1"/>
    <col min="2566" max="2566" width="11.5703125" style="57" bestFit="1" customWidth="1"/>
    <col min="2567" max="2567" width="14.28515625" style="57" customWidth="1"/>
    <col min="2568" max="2568" width="7.85546875" style="57" bestFit="1" customWidth="1"/>
    <col min="2569" max="2569" width="11.5703125" style="57" bestFit="1" customWidth="1"/>
    <col min="2570" max="2570" width="13.85546875" style="57" customWidth="1"/>
    <col min="2571" max="2571" width="8.7109375" style="57" bestFit="1" customWidth="1"/>
    <col min="2572" max="2816" width="9.140625" style="57"/>
    <col min="2817" max="2817" width="2.7109375" style="57" customWidth="1"/>
    <col min="2818" max="2818" width="5.5703125" style="57" customWidth="1"/>
    <col min="2819" max="2819" width="36.42578125" style="57" bestFit="1" customWidth="1"/>
    <col min="2820" max="2820" width="12.7109375" style="57" customWidth="1"/>
    <col min="2821" max="2821" width="13.140625" style="57" customWidth="1"/>
    <col min="2822" max="2822" width="11.5703125" style="57" bestFit="1" customWidth="1"/>
    <col min="2823" max="2823" width="14.28515625" style="57" customWidth="1"/>
    <col min="2824" max="2824" width="7.85546875" style="57" bestFit="1" customWidth="1"/>
    <col min="2825" max="2825" width="11.5703125" style="57" bestFit="1" customWidth="1"/>
    <col min="2826" max="2826" width="13.85546875" style="57" customWidth="1"/>
    <col min="2827" max="2827" width="8.7109375" style="57" bestFit="1" customWidth="1"/>
    <col min="2828" max="3072" width="9.140625" style="57"/>
    <col min="3073" max="3073" width="2.7109375" style="57" customWidth="1"/>
    <col min="3074" max="3074" width="5.5703125" style="57" customWidth="1"/>
    <col min="3075" max="3075" width="36.42578125" style="57" bestFit="1" customWidth="1"/>
    <col min="3076" max="3076" width="12.7109375" style="57" customWidth="1"/>
    <col min="3077" max="3077" width="13.140625" style="57" customWidth="1"/>
    <col min="3078" max="3078" width="11.5703125" style="57" bestFit="1" customWidth="1"/>
    <col min="3079" max="3079" width="14.28515625" style="57" customWidth="1"/>
    <col min="3080" max="3080" width="7.85546875" style="57" bestFit="1" customWidth="1"/>
    <col min="3081" max="3081" width="11.5703125" style="57" bestFit="1" customWidth="1"/>
    <col min="3082" max="3082" width="13.85546875" style="57" customWidth="1"/>
    <col min="3083" max="3083" width="8.7109375" style="57" bestFit="1" customWidth="1"/>
    <col min="3084" max="3328" width="9.140625" style="57"/>
    <col min="3329" max="3329" width="2.7109375" style="57" customWidth="1"/>
    <col min="3330" max="3330" width="5.5703125" style="57" customWidth="1"/>
    <col min="3331" max="3331" width="36.42578125" style="57" bestFit="1" customWidth="1"/>
    <col min="3332" max="3332" width="12.7109375" style="57" customWidth="1"/>
    <col min="3333" max="3333" width="13.140625" style="57" customWidth="1"/>
    <col min="3334" max="3334" width="11.5703125" style="57" bestFit="1" customWidth="1"/>
    <col min="3335" max="3335" width="14.28515625" style="57" customWidth="1"/>
    <col min="3336" max="3336" width="7.85546875" style="57" bestFit="1" customWidth="1"/>
    <col min="3337" max="3337" width="11.5703125" style="57" bestFit="1" customWidth="1"/>
    <col min="3338" max="3338" width="13.85546875" style="57" customWidth="1"/>
    <col min="3339" max="3339" width="8.7109375" style="57" bestFit="1" customWidth="1"/>
    <col min="3340" max="3584" width="9.140625" style="57"/>
    <col min="3585" max="3585" width="2.7109375" style="57" customWidth="1"/>
    <col min="3586" max="3586" width="5.5703125" style="57" customWidth="1"/>
    <col min="3587" max="3587" width="36.42578125" style="57" bestFit="1" customWidth="1"/>
    <col min="3588" max="3588" width="12.7109375" style="57" customWidth="1"/>
    <col min="3589" max="3589" width="13.140625" style="57" customWidth="1"/>
    <col min="3590" max="3590" width="11.5703125" style="57" bestFit="1" customWidth="1"/>
    <col min="3591" max="3591" width="14.28515625" style="57" customWidth="1"/>
    <col min="3592" max="3592" width="7.85546875" style="57" bestFit="1" customWidth="1"/>
    <col min="3593" max="3593" width="11.5703125" style="57" bestFit="1" customWidth="1"/>
    <col min="3594" max="3594" width="13.85546875" style="57" customWidth="1"/>
    <col min="3595" max="3595" width="8.7109375" style="57" bestFit="1" customWidth="1"/>
    <col min="3596" max="3840" width="9.140625" style="57"/>
    <col min="3841" max="3841" width="2.7109375" style="57" customWidth="1"/>
    <col min="3842" max="3842" width="5.5703125" style="57" customWidth="1"/>
    <col min="3843" max="3843" width="36.42578125" style="57" bestFit="1" customWidth="1"/>
    <col min="3844" max="3844" width="12.7109375" style="57" customWidth="1"/>
    <col min="3845" max="3845" width="13.140625" style="57" customWidth="1"/>
    <col min="3846" max="3846" width="11.5703125" style="57" bestFit="1" customWidth="1"/>
    <col min="3847" max="3847" width="14.28515625" style="57" customWidth="1"/>
    <col min="3848" max="3848" width="7.85546875" style="57" bestFit="1" customWidth="1"/>
    <col min="3849" max="3849" width="11.5703125" style="57" bestFit="1" customWidth="1"/>
    <col min="3850" max="3850" width="13.85546875" style="57" customWidth="1"/>
    <col min="3851" max="3851" width="8.7109375" style="57" bestFit="1" customWidth="1"/>
    <col min="3852" max="4096" width="9.140625" style="57"/>
    <col min="4097" max="4097" width="2.7109375" style="57" customWidth="1"/>
    <col min="4098" max="4098" width="5.5703125" style="57" customWidth="1"/>
    <col min="4099" max="4099" width="36.42578125" style="57" bestFit="1" customWidth="1"/>
    <col min="4100" max="4100" width="12.7109375" style="57" customWidth="1"/>
    <col min="4101" max="4101" width="13.140625" style="57" customWidth="1"/>
    <col min="4102" max="4102" width="11.5703125" style="57" bestFit="1" customWidth="1"/>
    <col min="4103" max="4103" width="14.28515625" style="57" customWidth="1"/>
    <col min="4104" max="4104" width="7.85546875" style="57" bestFit="1" customWidth="1"/>
    <col min="4105" max="4105" width="11.5703125" style="57" bestFit="1" customWidth="1"/>
    <col min="4106" max="4106" width="13.85546875" style="57" customWidth="1"/>
    <col min="4107" max="4107" width="8.7109375" style="57" bestFit="1" customWidth="1"/>
    <col min="4108" max="4352" width="9.140625" style="57"/>
    <col min="4353" max="4353" width="2.7109375" style="57" customWidth="1"/>
    <col min="4354" max="4354" width="5.5703125" style="57" customWidth="1"/>
    <col min="4355" max="4355" width="36.42578125" style="57" bestFit="1" customWidth="1"/>
    <col min="4356" max="4356" width="12.7109375" style="57" customWidth="1"/>
    <col min="4357" max="4357" width="13.140625" style="57" customWidth="1"/>
    <col min="4358" max="4358" width="11.5703125" style="57" bestFit="1" customWidth="1"/>
    <col min="4359" max="4359" width="14.28515625" style="57" customWidth="1"/>
    <col min="4360" max="4360" width="7.85546875" style="57" bestFit="1" customWidth="1"/>
    <col min="4361" max="4361" width="11.5703125" style="57" bestFit="1" customWidth="1"/>
    <col min="4362" max="4362" width="13.85546875" style="57" customWidth="1"/>
    <col min="4363" max="4363" width="8.7109375" style="57" bestFit="1" customWidth="1"/>
    <col min="4364" max="4608" width="9.140625" style="57"/>
    <col min="4609" max="4609" width="2.7109375" style="57" customWidth="1"/>
    <col min="4610" max="4610" width="5.5703125" style="57" customWidth="1"/>
    <col min="4611" max="4611" width="36.42578125" style="57" bestFit="1" customWidth="1"/>
    <col min="4612" max="4612" width="12.7109375" style="57" customWidth="1"/>
    <col min="4613" max="4613" width="13.140625" style="57" customWidth="1"/>
    <col min="4614" max="4614" width="11.5703125" style="57" bestFit="1" customWidth="1"/>
    <col min="4615" max="4615" width="14.28515625" style="57" customWidth="1"/>
    <col min="4616" max="4616" width="7.85546875" style="57" bestFit="1" customWidth="1"/>
    <col min="4617" max="4617" width="11.5703125" style="57" bestFit="1" customWidth="1"/>
    <col min="4618" max="4618" width="13.85546875" style="57" customWidth="1"/>
    <col min="4619" max="4619" width="8.7109375" style="57" bestFit="1" customWidth="1"/>
    <col min="4620" max="4864" width="9.140625" style="57"/>
    <col min="4865" max="4865" width="2.7109375" style="57" customWidth="1"/>
    <col min="4866" max="4866" width="5.5703125" style="57" customWidth="1"/>
    <col min="4867" max="4867" width="36.42578125" style="57" bestFit="1" customWidth="1"/>
    <col min="4868" max="4868" width="12.7109375" style="57" customWidth="1"/>
    <col min="4869" max="4869" width="13.140625" style="57" customWidth="1"/>
    <col min="4870" max="4870" width="11.5703125" style="57" bestFit="1" customWidth="1"/>
    <col min="4871" max="4871" width="14.28515625" style="57" customWidth="1"/>
    <col min="4872" max="4872" width="7.85546875" style="57" bestFit="1" customWidth="1"/>
    <col min="4873" max="4873" width="11.5703125" style="57" bestFit="1" customWidth="1"/>
    <col min="4874" max="4874" width="13.85546875" style="57" customWidth="1"/>
    <col min="4875" max="4875" width="8.7109375" style="57" bestFit="1" customWidth="1"/>
    <col min="4876" max="5120" width="9.140625" style="57"/>
    <col min="5121" max="5121" width="2.7109375" style="57" customWidth="1"/>
    <col min="5122" max="5122" width="5.5703125" style="57" customWidth="1"/>
    <col min="5123" max="5123" width="36.42578125" style="57" bestFit="1" customWidth="1"/>
    <col min="5124" max="5124" width="12.7109375" style="57" customWidth="1"/>
    <col min="5125" max="5125" width="13.140625" style="57" customWidth="1"/>
    <col min="5126" max="5126" width="11.5703125" style="57" bestFit="1" customWidth="1"/>
    <col min="5127" max="5127" width="14.28515625" style="57" customWidth="1"/>
    <col min="5128" max="5128" width="7.85546875" style="57" bestFit="1" customWidth="1"/>
    <col min="5129" max="5129" width="11.5703125" style="57" bestFit="1" customWidth="1"/>
    <col min="5130" max="5130" width="13.85546875" style="57" customWidth="1"/>
    <col min="5131" max="5131" width="8.7109375" style="57" bestFit="1" customWidth="1"/>
    <col min="5132" max="5376" width="9.140625" style="57"/>
    <col min="5377" max="5377" width="2.7109375" style="57" customWidth="1"/>
    <col min="5378" max="5378" width="5.5703125" style="57" customWidth="1"/>
    <col min="5379" max="5379" width="36.42578125" style="57" bestFit="1" customWidth="1"/>
    <col min="5380" max="5380" width="12.7109375" style="57" customWidth="1"/>
    <col min="5381" max="5381" width="13.140625" style="57" customWidth="1"/>
    <col min="5382" max="5382" width="11.5703125" style="57" bestFit="1" customWidth="1"/>
    <col min="5383" max="5383" width="14.28515625" style="57" customWidth="1"/>
    <col min="5384" max="5384" width="7.85546875" style="57" bestFit="1" customWidth="1"/>
    <col min="5385" max="5385" width="11.5703125" style="57" bestFit="1" customWidth="1"/>
    <col min="5386" max="5386" width="13.85546875" style="57" customWidth="1"/>
    <col min="5387" max="5387" width="8.7109375" style="57" bestFit="1" customWidth="1"/>
    <col min="5388" max="5632" width="9.140625" style="57"/>
    <col min="5633" max="5633" width="2.7109375" style="57" customWidth="1"/>
    <col min="5634" max="5634" width="5.5703125" style="57" customWidth="1"/>
    <col min="5635" max="5635" width="36.42578125" style="57" bestFit="1" customWidth="1"/>
    <col min="5636" max="5636" width="12.7109375" style="57" customWidth="1"/>
    <col min="5637" max="5637" width="13.140625" style="57" customWidth="1"/>
    <col min="5638" max="5638" width="11.5703125" style="57" bestFit="1" customWidth="1"/>
    <col min="5639" max="5639" width="14.28515625" style="57" customWidth="1"/>
    <col min="5640" max="5640" width="7.85546875" style="57" bestFit="1" customWidth="1"/>
    <col min="5641" max="5641" width="11.5703125" style="57" bestFit="1" customWidth="1"/>
    <col min="5642" max="5642" width="13.85546875" style="57" customWidth="1"/>
    <col min="5643" max="5643" width="8.7109375" style="57" bestFit="1" customWidth="1"/>
    <col min="5644" max="5888" width="9.140625" style="57"/>
    <col min="5889" max="5889" width="2.7109375" style="57" customWidth="1"/>
    <col min="5890" max="5890" width="5.5703125" style="57" customWidth="1"/>
    <col min="5891" max="5891" width="36.42578125" style="57" bestFit="1" customWidth="1"/>
    <col min="5892" max="5892" width="12.7109375" style="57" customWidth="1"/>
    <col min="5893" max="5893" width="13.140625" style="57" customWidth="1"/>
    <col min="5894" max="5894" width="11.5703125" style="57" bestFit="1" customWidth="1"/>
    <col min="5895" max="5895" width="14.28515625" style="57" customWidth="1"/>
    <col min="5896" max="5896" width="7.85546875" style="57" bestFit="1" customWidth="1"/>
    <col min="5897" max="5897" width="11.5703125" style="57" bestFit="1" customWidth="1"/>
    <col min="5898" max="5898" width="13.85546875" style="57" customWidth="1"/>
    <col min="5899" max="5899" width="8.7109375" style="57" bestFit="1" customWidth="1"/>
    <col min="5900" max="6144" width="9.140625" style="57"/>
    <col min="6145" max="6145" width="2.7109375" style="57" customWidth="1"/>
    <col min="6146" max="6146" width="5.5703125" style="57" customWidth="1"/>
    <col min="6147" max="6147" width="36.42578125" style="57" bestFit="1" customWidth="1"/>
    <col min="6148" max="6148" width="12.7109375" style="57" customWidth="1"/>
    <col min="6149" max="6149" width="13.140625" style="57" customWidth="1"/>
    <col min="6150" max="6150" width="11.5703125" style="57" bestFit="1" customWidth="1"/>
    <col min="6151" max="6151" width="14.28515625" style="57" customWidth="1"/>
    <col min="6152" max="6152" width="7.85546875" style="57" bestFit="1" customWidth="1"/>
    <col min="6153" max="6153" width="11.5703125" style="57" bestFit="1" customWidth="1"/>
    <col min="6154" max="6154" width="13.85546875" style="57" customWidth="1"/>
    <col min="6155" max="6155" width="8.7109375" style="57" bestFit="1" customWidth="1"/>
    <col min="6156" max="6400" width="9.140625" style="57"/>
    <col min="6401" max="6401" width="2.7109375" style="57" customWidth="1"/>
    <col min="6402" max="6402" width="5.5703125" style="57" customWidth="1"/>
    <col min="6403" max="6403" width="36.42578125" style="57" bestFit="1" customWidth="1"/>
    <col min="6404" max="6404" width="12.7109375" style="57" customWidth="1"/>
    <col min="6405" max="6405" width="13.140625" style="57" customWidth="1"/>
    <col min="6406" max="6406" width="11.5703125" style="57" bestFit="1" customWidth="1"/>
    <col min="6407" max="6407" width="14.28515625" style="57" customWidth="1"/>
    <col min="6408" max="6408" width="7.85546875" style="57" bestFit="1" customWidth="1"/>
    <col min="6409" max="6409" width="11.5703125" style="57" bestFit="1" customWidth="1"/>
    <col min="6410" max="6410" width="13.85546875" style="57" customWidth="1"/>
    <col min="6411" max="6411" width="8.7109375" style="57" bestFit="1" customWidth="1"/>
    <col min="6412" max="6656" width="9.140625" style="57"/>
    <col min="6657" max="6657" width="2.7109375" style="57" customWidth="1"/>
    <col min="6658" max="6658" width="5.5703125" style="57" customWidth="1"/>
    <col min="6659" max="6659" width="36.42578125" style="57" bestFit="1" customWidth="1"/>
    <col min="6660" max="6660" width="12.7109375" style="57" customWidth="1"/>
    <col min="6661" max="6661" width="13.140625" style="57" customWidth="1"/>
    <col min="6662" max="6662" width="11.5703125" style="57" bestFit="1" customWidth="1"/>
    <col min="6663" max="6663" width="14.28515625" style="57" customWidth="1"/>
    <col min="6664" max="6664" width="7.85546875" style="57" bestFit="1" customWidth="1"/>
    <col min="6665" max="6665" width="11.5703125" style="57" bestFit="1" customWidth="1"/>
    <col min="6666" max="6666" width="13.85546875" style="57" customWidth="1"/>
    <col min="6667" max="6667" width="8.7109375" style="57" bestFit="1" customWidth="1"/>
    <col min="6668" max="6912" width="9.140625" style="57"/>
    <col min="6913" max="6913" width="2.7109375" style="57" customWidth="1"/>
    <col min="6914" max="6914" width="5.5703125" style="57" customWidth="1"/>
    <col min="6915" max="6915" width="36.42578125" style="57" bestFit="1" customWidth="1"/>
    <col min="6916" max="6916" width="12.7109375" style="57" customWidth="1"/>
    <col min="6917" max="6917" width="13.140625" style="57" customWidth="1"/>
    <col min="6918" max="6918" width="11.5703125" style="57" bestFit="1" customWidth="1"/>
    <col min="6919" max="6919" width="14.28515625" style="57" customWidth="1"/>
    <col min="6920" max="6920" width="7.85546875" style="57" bestFit="1" customWidth="1"/>
    <col min="6921" max="6921" width="11.5703125" style="57" bestFit="1" customWidth="1"/>
    <col min="6922" max="6922" width="13.85546875" style="57" customWidth="1"/>
    <col min="6923" max="6923" width="8.7109375" style="57" bestFit="1" customWidth="1"/>
    <col min="6924" max="7168" width="9.140625" style="57"/>
    <col min="7169" max="7169" width="2.7109375" style="57" customWidth="1"/>
    <col min="7170" max="7170" width="5.5703125" style="57" customWidth="1"/>
    <col min="7171" max="7171" width="36.42578125" style="57" bestFit="1" customWidth="1"/>
    <col min="7172" max="7172" width="12.7109375" style="57" customWidth="1"/>
    <col min="7173" max="7173" width="13.140625" style="57" customWidth="1"/>
    <col min="7174" max="7174" width="11.5703125" style="57" bestFit="1" customWidth="1"/>
    <col min="7175" max="7175" width="14.28515625" style="57" customWidth="1"/>
    <col min="7176" max="7176" width="7.85546875" style="57" bestFit="1" customWidth="1"/>
    <col min="7177" max="7177" width="11.5703125" style="57" bestFit="1" customWidth="1"/>
    <col min="7178" max="7178" width="13.85546875" style="57" customWidth="1"/>
    <col min="7179" max="7179" width="8.7109375" style="57" bestFit="1" customWidth="1"/>
    <col min="7180" max="7424" width="9.140625" style="57"/>
    <col min="7425" max="7425" width="2.7109375" style="57" customWidth="1"/>
    <col min="7426" max="7426" width="5.5703125" style="57" customWidth="1"/>
    <col min="7427" max="7427" width="36.42578125" style="57" bestFit="1" customWidth="1"/>
    <col min="7428" max="7428" width="12.7109375" style="57" customWidth="1"/>
    <col min="7429" max="7429" width="13.140625" style="57" customWidth="1"/>
    <col min="7430" max="7430" width="11.5703125" style="57" bestFit="1" customWidth="1"/>
    <col min="7431" max="7431" width="14.28515625" style="57" customWidth="1"/>
    <col min="7432" max="7432" width="7.85546875" style="57" bestFit="1" customWidth="1"/>
    <col min="7433" max="7433" width="11.5703125" style="57" bestFit="1" customWidth="1"/>
    <col min="7434" max="7434" width="13.85546875" style="57" customWidth="1"/>
    <col min="7435" max="7435" width="8.7109375" style="57" bestFit="1" customWidth="1"/>
    <col min="7436" max="7680" width="9.140625" style="57"/>
    <col min="7681" max="7681" width="2.7109375" style="57" customWidth="1"/>
    <col min="7682" max="7682" width="5.5703125" style="57" customWidth="1"/>
    <col min="7683" max="7683" width="36.42578125" style="57" bestFit="1" customWidth="1"/>
    <col min="7684" max="7684" width="12.7109375" style="57" customWidth="1"/>
    <col min="7685" max="7685" width="13.140625" style="57" customWidth="1"/>
    <col min="7686" max="7686" width="11.5703125" style="57" bestFit="1" customWidth="1"/>
    <col min="7687" max="7687" width="14.28515625" style="57" customWidth="1"/>
    <col min="7688" max="7688" width="7.85546875" style="57" bestFit="1" customWidth="1"/>
    <col min="7689" max="7689" width="11.5703125" style="57" bestFit="1" customWidth="1"/>
    <col min="7690" max="7690" width="13.85546875" style="57" customWidth="1"/>
    <col min="7691" max="7691" width="8.7109375" style="57" bestFit="1" customWidth="1"/>
    <col min="7692" max="7936" width="9.140625" style="57"/>
    <col min="7937" max="7937" width="2.7109375" style="57" customWidth="1"/>
    <col min="7938" max="7938" width="5.5703125" style="57" customWidth="1"/>
    <col min="7939" max="7939" width="36.42578125" style="57" bestFit="1" customWidth="1"/>
    <col min="7940" max="7940" width="12.7109375" style="57" customWidth="1"/>
    <col min="7941" max="7941" width="13.140625" style="57" customWidth="1"/>
    <col min="7942" max="7942" width="11.5703125" style="57" bestFit="1" customWidth="1"/>
    <col min="7943" max="7943" width="14.28515625" style="57" customWidth="1"/>
    <col min="7944" max="7944" width="7.85546875" style="57" bestFit="1" customWidth="1"/>
    <col min="7945" max="7945" width="11.5703125" style="57" bestFit="1" customWidth="1"/>
    <col min="7946" max="7946" width="13.85546875" style="57" customWidth="1"/>
    <col min="7947" max="7947" width="8.7109375" style="57" bestFit="1" customWidth="1"/>
    <col min="7948" max="8192" width="9.140625" style="57"/>
    <col min="8193" max="8193" width="2.7109375" style="57" customWidth="1"/>
    <col min="8194" max="8194" width="5.5703125" style="57" customWidth="1"/>
    <col min="8195" max="8195" width="36.42578125" style="57" bestFit="1" customWidth="1"/>
    <col min="8196" max="8196" width="12.7109375" style="57" customWidth="1"/>
    <col min="8197" max="8197" width="13.140625" style="57" customWidth="1"/>
    <col min="8198" max="8198" width="11.5703125" style="57" bestFit="1" customWidth="1"/>
    <col min="8199" max="8199" width="14.28515625" style="57" customWidth="1"/>
    <col min="8200" max="8200" width="7.85546875" style="57" bestFit="1" customWidth="1"/>
    <col min="8201" max="8201" width="11.5703125" style="57" bestFit="1" customWidth="1"/>
    <col min="8202" max="8202" width="13.85546875" style="57" customWidth="1"/>
    <col min="8203" max="8203" width="8.7109375" style="57" bestFit="1" customWidth="1"/>
    <col min="8204" max="8448" width="9.140625" style="57"/>
    <col min="8449" max="8449" width="2.7109375" style="57" customWidth="1"/>
    <col min="8450" max="8450" width="5.5703125" style="57" customWidth="1"/>
    <col min="8451" max="8451" width="36.42578125" style="57" bestFit="1" customWidth="1"/>
    <col min="8452" max="8452" width="12.7109375" style="57" customWidth="1"/>
    <col min="8453" max="8453" width="13.140625" style="57" customWidth="1"/>
    <col min="8454" max="8454" width="11.5703125" style="57" bestFit="1" customWidth="1"/>
    <col min="8455" max="8455" width="14.28515625" style="57" customWidth="1"/>
    <col min="8456" max="8456" width="7.85546875" style="57" bestFit="1" customWidth="1"/>
    <col min="8457" max="8457" width="11.5703125" style="57" bestFit="1" customWidth="1"/>
    <col min="8458" max="8458" width="13.85546875" style="57" customWidth="1"/>
    <col min="8459" max="8459" width="8.7109375" style="57" bestFit="1" customWidth="1"/>
    <col min="8460" max="8704" width="9.140625" style="57"/>
    <col min="8705" max="8705" width="2.7109375" style="57" customWidth="1"/>
    <col min="8706" max="8706" width="5.5703125" style="57" customWidth="1"/>
    <col min="8707" max="8707" width="36.42578125" style="57" bestFit="1" customWidth="1"/>
    <col min="8708" max="8708" width="12.7109375" style="57" customWidth="1"/>
    <col min="8709" max="8709" width="13.140625" style="57" customWidth="1"/>
    <col min="8710" max="8710" width="11.5703125" style="57" bestFit="1" customWidth="1"/>
    <col min="8711" max="8711" width="14.28515625" style="57" customWidth="1"/>
    <col min="8712" max="8712" width="7.85546875" style="57" bestFit="1" customWidth="1"/>
    <col min="8713" max="8713" width="11.5703125" style="57" bestFit="1" customWidth="1"/>
    <col min="8714" max="8714" width="13.85546875" style="57" customWidth="1"/>
    <col min="8715" max="8715" width="8.7109375" style="57" bestFit="1" customWidth="1"/>
    <col min="8716" max="8960" width="9.140625" style="57"/>
    <col min="8961" max="8961" width="2.7109375" style="57" customWidth="1"/>
    <col min="8962" max="8962" width="5.5703125" style="57" customWidth="1"/>
    <col min="8963" max="8963" width="36.42578125" style="57" bestFit="1" customWidth="1"/>
    <col min="8964" max="8964" width="12.7109375" style="57" customWidth="1"/>
    <col min="8965" max="8965" width="13.140625" style="57" customWidth="1"/>
    <col min="8966" max="8966" width="11.5703125" style="57" bestFit="1" customWidth="1"/>
    <col min="8967" max="8967" width="14.28515625" style="57" customWidth="1"/>
    <col min="8968" max="8968" width="7.85546875" style="57" bestFit="1" customWidth="1"/>
    <col min="8969" max="8969" width="11.5703125" style="57" bestFit="1" customWidth="1"/>
    <col min="8970" max="8970" width="13.85546875" style="57" customWidth="1"/>
    <col min="8971" max="8971" width="8.7109375" style="57" bestFit="1" customWidth="1"/>
    <col min="8972" max="9216" width="9.140625" style="57"/>
    <col min="9217" max="9217" width="2.7109375" style="57" customWidth="1"/>
    <col min="9218" max="9218" width="5.5703125" style="57" customWidth="1"/>
    <col min="9219" max="9219" width="36.42578125" style="57" bestFit="1" customWidth="1"/>
    <col min="9220" max="9220" width="12.7109375" style="57" customWidth="1"/>
    <col min="9221" max="9221" width="13.140625" style="57" customWidth="1"/>
    <col min="9222" max="9222" width="11.5703125" style="57" bestFit="1" customWidth="1"/>
    <col min="9223" max="9223" width="14.28515625" style="57" customWidth="1"/>
    <col min="9224" max="9224" width="7.85546875" style="57" bestFit="1" customWidth="1"/>
    <col min="9225" max="9225" width="11.5703125" style="57" bestFit="1" customWidth="1"/>
    <col min="9226" max="9226" width="13.85546875" style="57" customWidth="1"/>
    <col min="9227" max="9227" width="8.7109375" style="57" bestFit="1" customWidth="1"/>
    <col min="9228" max="9472" width="9.140625" style="57"/>
    <col min="9473" max="9473" width="2.7109375" style="57" customWidth="1"/>
    <col min="9474" max="9474" width="5.5703125" style="57" customWidth="1"/>
    <col min="9475" max="9475" width="36.42578125" style="57" bestFit="1" customWidth="1"/>
    <col min="9476" max="9476" width="12.7109375" style="57" customWidth="1"/>
    <col min="9477" max="9477" width="13.140625" style="57" customWidth="1"/>
    <col min="9478" max="9478" width="11.5703125" style="57" bestFit="1" customWidth="1"/>
    <col min="9479" max="9479" width="14.28515625" style="57" customWidth="1"/>
    <col min="9480" max="9480" width="7.85546875" style="57" bestFit="1" customWidth="1"/>
    <col min="9481" max="9481" width="11.5703125" style="57" bestFit="1" customWidth="1"/>
    <col min="9482" max="9482" width="13.85546875" style="57" customWidth="1"/>
    <col min="9483" max="9483" width="8.7109375" style="57" bestFit="1" customWidth="1"/>
    <col min="9484" max="9728" width="9.140625" style="57"/>
    <col min="9729" max="9729" width="2.7109375" style="57" customWidth="1"/>
    <col min="9730" max="9730" width="5.5703125" style="57" customWidth="1"/>
    <col min="9731" max="9731" width="36.42578125" style="57" bestFit="1" customWidth="1"/>
    <col min="9732" max="9732" width="12.7109375" style="57" customWidth="1"/>
    <col min="9733" max="9733" width="13.140625" style="57" customWidth="1"/>
    <col min="9734" max="9734" width="11.5703125" style="57" bestFit="1" customWidth="1"/>
    <col min="9735" max="9735" width="14.28515625" style="57" customWidth="1"/>
    <col min="9736" max="9736" width="7.85546875" style="57" bestFit="1" customWidth="1"/>
    <col min="9737" max="9737" width="11.5703125" style="57" bestFit="1" customWidth="1"/>
    <col min="9738" max="9738" width="13.85546875" style="57" customWidth="1"/>
    <col min="9739" max="9739" width="8.7109375" style="57" bestFit="1" customWidth="1"/>
    <col min="9740" max="9984" width="9.140625" style="57"/>
    <col min="9985" max="9985" width="2.7109375" style="57" customWidth="1"/>
    <col min="9986" max="9986" width="5.5703125" style="57" customWidth="1"/>
    <col min="9987" max="9987" width="36.42578125" style="57" bestFit="1" customWidth="1"/>
    <col min="9988" max="9988" width="12.7109375" style="57" customWidth="1"/>
    <col min="9989" max="9989" width="13.140625" style="57" customWidth="1"/>
    <col min="9990" max="9990" width="11.5703125" style="57" bestFit="1" customWidth="1"/>
    <col min="9991" max="9991" width="14.28515625" style="57" customWidth="1"/>
    <col min="9992" max="9992" width="7.85546875" style="57" bestFit="1" customWidth="1"/>
    <col min="9993" max="9993" width="11.5703125" style="57" bestFit="1" customWidth="1"/>
    <col min="9994" max="9994" width="13.85546875" style="57" customWidth="1"/>
    <col min="9995" max="9995" width="8.7109375" style="57" bestFit="1" customWidth="1"/>
    <col min="9996" max="10240" width="9.140625" style="57"/>
    <col min="10241" max="10241" width="2.7109375" style="57" customWidth="1"/>
    <col min="10242" max="10242" width="5.5703125" style="57" customWidth="1"/>
    <col min="10243" max="10243" width="36.42578125" style="57" bestFit="1" customWidth="1"/>
    <col min="10244" max="10244" width="12.7109375" style="57" customWidth="1"/>
    <col min="10245" max="10245" width="13.140625" style="57" customWidth="1"/>
    <col min="10246" max="10246" width="11.5703125" style="57" bestFit="1" customWidth="1"/>
    <col min="10247" max="10247" width="14.28515625" style="57" customWidth="1"/>
    <col min="10248" max="10248" width="7.85546875" style="57" bestFit="1" customWidth="1"/>
    <col min="10249" max="10249" width="11.5703125" style="57" bestFit="1" customWidth="1"/>
    <col min="10250" max="10250" width="13.85546875" style="57" customWidth="1"/>
    <col min="10251" max="10251" width="8.7109375" style="57" bestFit="1" customWidth="1"/>
    <col min="10252" max="10496" width="9.140625" style="57"/>
    <col min="10497" max="10497" width="2.7109375" style="57" customWidth="1"/>
    <col min="10498" max="10498" width="5.5703125" style="57" customWidth="1"/>
    <col min="10499" max="10499" width="36.42578125" style="57" bestFit="1" customWidth="1"/>
    <col min="10500" max="10500" width="12.7109375" style="57" customWidth="1"/>
    <col min="10501" max="10501" width="13.140625" style="57" customWidth="1"/>
    <col min="10502" max="10502" width="11.5703125" style="57" bestFit="1" customWidth="1"/>
    <col min="10503" max="10503" width="14.28515625" style="57" customWidth="1"/>
    <col min="10504" max="10504" width="7.85546875" style="57" bestFit="1" customWidth="1"/>
    <col min="10505" max="10505" width="11.5703125" style="57" bestFit="1" customWidth="1"/>
    <col min="10506" max="10506" width="13.85546875" style="57" customWidth="1"/>
    <col min="10507" max="10507" width="8.7109375" style="57" bestFit="1" customWidth="1"/>
    <col min="10508" max="10752" width="9.140625" style="57"/>
    <col min="10753" max="10753" width="2.7109375" style="57" customWidth="1"/>
    <col min="10754" max="10754" width="5.5703125" style="57" customWidth="1"/>
    <col min="10755" max="10755" width="36.42578125" style="57" bestFit="1" customWidth="1"/>
    <col min="10756" max="10756" width="12.7109375" style="57" customWidth="1"/>
    <col min="10757" max="10757" width="13.140625" style="57" customWidth="1"/>
    <col min="10758" max="10758" width="11.5703125" style="57" bestFit="1" customWidth="1"/>
    <col min="10759" max="10759" width="14.28515625" style="57" customWidth="1"/>
    <col min="10760" max="10760" width="7.85546875" style="57" bestFit="1" customWidth="1"/>
    <col min="10761" max="10761" width="11.5703125" style="57" bestFit="1" customWidth="1"/>
    <col min="10762" max="10762" width="13.85546875" style="57" customWidth="1"/>
    <col min="10763" max="10763" width="8.7109375" style="57" bestFit="1" customWidth="1"/>
    <col min="10764" max="11008" width="9.140625" style="57"/>
    <col min="11009" max="11009" width="2.7109375" style="57" customWidth="1"/>
    <col min="11010" max="11010" width="5.5703125" style="57" customWidth="1"/>
    <col min="11011" max="11011" width="36.42578125" style="57" bestFit="1" customWidth="1"/>
    <col min="11012" max="11012" width="12.7109375" style="57" customWidth="1"/>
    <col min="11013" max="11013" width="13.140625" style="57" customWidth="1"/>
    <col min="11014" max="11014" width="11.5703125" style="57" bestFit="1" customWidth="1"/>
    <col min="11015" max="11015" width="14.28515625" style="57" customWidth="1"/>
    <col min="11016" max="11016" width="7.85546875" style="57" bestFit="1" customWidth="1"/>
    <col min="11017" max="11017" width="11.5703125" style="57" bestFit="1" customWidth="1"/>
    <col min="11018" max="11018" width="13.85546875" style="57" customWidth="1"/>
    <col min="11019" max="11019" width="8.7109375" style="57" bestFit="1" customWidth="1"/>
    <col min="11020" max="11264" width="9.140625" style="57"/>
    <col min="11265" max="11265" width="2.7109375" style="57" customWidth="1"/>
    <col min="11266" max="11266" width="5.5703125" style="57" customWidth="1"/>
    <col min="11267" max="11267" width="36.42578125" style="57" bestFit="1" customWidth="1"/>
    <col min="11268" max="11268" width="12.7109375" style="57" customWidth="1"/>
    <col min="11269" max="11269" width="13.140625" style="57" customWidth="1"/>
    <col min="11270" max="11270" width="11.5703125" style="57" bestFit="1" customWidth="1"/>
    <col min="11271" max="11271" width="14.28515625" style="57" customWidth="1"/>
    <col min="11272" max="11272" width="7.85546875" style="57" bestFit="1" customWidth="1"/>
    <col min="11273" max="11273" width="11.5703125" style="57" bestFit="1" customWidth="1"/>
    <col min="11274" max="11274" width="13.85546875" style="57" customWidth="1"/>
    <col min="11275" max="11275" width="8.7109375" style="57" bestFit="1" customWidth="1"/>
    <col min="11276" max="11520" width="9.140625" style="57"/>
    <col min="11521" max="11521" width="2.7109375" style="57" customWidth="1"/>
    <col min="11522" max="11522" width="5.5703125" style="57" customWidth="1"/>
    <col min="11523" max="11523" width="36.42578125" style="57" bestFit="1" customWidth="1"/>
    <col min="11524" max="11524" width="12.7109375" style="57" customWidth="1"/>
    <col min="11525" max="11525" width="13.140625" style="57" customWidth="1"/>
    <col min="11526" max="11526" width="11.5703125" style="57" bestFit="1" customWidth="1"/>
    <col min="11527" max="11527" width="14.28515625" style="57" customWidth="1"/>
    <col min="11528" max="11528" width="7.85546875" style="57" bestFit="1" customWidth="1"/>
    <col min="11529" max="11529" width="11.5703125" style="57" bestFit="1" customWidth="1"/>
    <col min="11530" max="11530" width="13.85546875" style="57" customWidth="1"/>
    <col min="11531" max="11531" width="8.7109375" style="57" bestFit="1" customWidth="1"/>
    <col min="11532" max="11776" width="9.140625" style="57"/>
    <col min="11777" max="11777" width="2.7109375" style="57" customWidth="1"/>
    <col min="11778" max="11778" width="5.5703125" style="57" customWidth="1"/>
    <col min="11779" max="11779" width="36.42578125" style="57" bestFit="1" customWidth="1"/>
    <col min="11780" max="11780" width="12.7109375" style="57" customWidth="1"/>
    <col min="11781" max="11781" width="13.140625" style="57" customWidth="1"/>
    <col min="11782" max="11782" width="11.5703125" style="57" bestFit="1" customWidth="1"/>
    <col min="11783" max="11783" width="14.28515625" style="57" customWidth="1"/>
    <col min="11784" max="11784" width="7.85546875" style="57" bestFit="1" customWidth="1"/>
    <col min="11785" max="11785" width="11.5703125" style="57" bestFit="1" customWidth="1"/>
    <col min="11786" max="11786" width="13.85546875" style="57" customWidth="1"/>
    <col min="11787" max="11787" width="8.7109375" style="57" bestFit="1" customWidth="1"/>
    <col min="11788" max="12032" width="9.140625" style="57"/>
    <col min="12033" max="12033" width="2.7109375" style="57" customWidth="1"/>
    <col min="12034" max="12034" width="5.5703125" style="57" customWidth="1"/>
    <col min="12035" max="12035" width="36.42578125" style="57" bestFit="1" customWidth="1"/>
    <col min="12036" max="12036" width="12.7109375" style="57" customWidth="1"/>
    <col min="12037" max="12037" width="13.140625" style="57" customWidth="1"/>
    <col min="12038" max="12038" width="11.5703125" style="57" bestFit="1" customWidth="1"/>
    <col min="12039" max="12039" width="14.28515625" style="57" customWidth="1"/>
    <col min="12040" max="12040" width="7.85546875" style="57" bestFit="1" customWidth="1"/>
    <col min="12041" max="12041" width="11.5703125" style="57" bestFit="1" customWidth="1"/>
    <col min="12042" max="12042" width="13.85546875" style="57" customWidth="1"/>
    <col min="12043" max="12043" width="8.7109375" style="57" bestFit="1" customWidth="1"/>
    <col min="12044" max="12288" width="9.140625" style="57"/>
    <col min="12289" max="12289" width="2.7109375" style="57" customWidth="1"/>
    <col min="12290" max="12290" width="5.5703125" style="57" customWidth="1"/>
    <col min="12291" max="12291" width="36.42578125" style="57" bestFit="1" customWidth="1"/>
    <col min="12292" max="12292" width="12.7109375" style="57" customWidth="1"/>
    <col min="12293" max="12293" width="13.140625" style="57" customWidth="1"/>
    <col min="12294" max="12294" width="11.5703125" style="57" bestFit="1" customWidth="1"/>
    <col min="12295" max="12295" width="14.28515625" style="57" customWidth="1"/>
    <col min="12296" max="12296" width="7.85546875" style="57" bestFit="1" customWidth="1"/>
    <col min="12297" max="12297" width="11.5703125" style="57" bestFit="1" customWidth="1"/>
    <col min="12298" max="12298" width="13.85546875" style="57" customWidth="1"/>
    <col min="12299" max="12299" width="8.7109375" style="57" bestFit="1" customWidth="1"/>
    <col min="12300" max="12544" width="9.140625" style="57"/>
    <col min="12545" max="12545" width="2.7109375" style="57" customWidth="1"/>
    <col min="12546" max="12546" width="5.5703125" style="57" customWidth="1"/>
    <col min="12547" max="12547" width="36.42578125" style="57" bestFit="1" customWidth="1"/>
    <col min="12548" max="12548" width="12.7109375" style="57" customWidth="1"/>
    <col min="12549" max="12549" width="13.140625" style="57" customWidth="1"/>
    <col min="12550" max="12550" width="11.5703125" style="57" bestFit="1" customWidth="1"/>
    <col min="12551" max="12551" width="14.28515625" style="57" customWidth="1"/>
    <col min="12552" max="12552" width="7.85546875" style="57" bestFit="1" customWidth="1"/>
    <col min="12553" max="12553" width="11.5703125" style="57" bestFit="1" customWidth="1"/>
    <col min="12554" max="12554" width="13.85546875" style="57" customWidth="1"/>
    <col min="12555" max="12555" width="8.7109375" style="57" bestFit="1" customWidth="1"/>
    <col min="12556" max="12800" width="9.140625" style="57"/>
    <col min="12801" max="12801" width="2.7109375" style="57" customWidth="1"/>
    <col min="12802" max="12802" width="5.5703125" style="57" customWidth="1"/>
    <col min="12803" max="12803" width="36.42578125" style="57" bestFit="1" customWidth="1"/>
    <col min="12804" max="12804" width="12.7109375" style="57" customWidth="1"/>
    <col min="12805" max="12805" width="13.140625" style="57" customWidth="1"/>
    <col min="12806" max="12806" width="11.5703125" style="57" bestFit="1" customWidth="1"/>
    <col min="12807" max="12807" width="14.28515625" style="57" customWidth="1"/>
    <col min="12808" max="12808" width="7.85546875" style="57" bestFit="1" customWidth="1"/>
    <col min="12809" max="12809" width="11.5703125" style="57" bestFit="1" customWidth="1"/>
    <col min="12810" max="12810" width="13.85546875" style="57" customWidth="1"/>
    <col min="12811" max="12811" width="8.7109375" style="57" bestFit="1" customWidth="1"/>
    <col min="12812" max="13056" width="9.140625" style="57"/>
    <col min="13057" max="13057" width="2.7109375" style="57" customWidth="1"/>
    <col min="13058" max="13058" width="5.5703125" style="57" customWidth="1"/>
    <col min="13059" max="13059" width="36.42578125" style="57" bestFit="1" customWidth="1"/>
    <col min="13060" max="13060" width="12.7109375" style="57" customWidth="1"/>
    <col min="13061" max="13061" width="13.140625" style="57" customWidth="1"/>
    <col min="13062" max="13062" width="11.5703125" style="57" bestFit="1" customWidth="1"/>
    <col min="13063" max="13063" width="14.28515625" style="57" customWidth="1"/>
    <col min="13064" max="13064" width="7.85546875" style="57" bestFit="1" customWidth="1"/>
    <col min="13065" max="13065" width="11.5703125" style="57" bestFit="1" customWidth="1"/>
    <col min="13066" max="13066" width="13.85546875" style="57" customWidth="1"/>
    <col min="13067" max="13067" width="8.7109375" style="57" bestFit="1" customWidth="1"/>
    <col min="13068" max="13312" width="9.140625" style="57"/>
    <col min="13313" max="13313" width="2.7109375" style="57" customWidth="1"/>
    <col min="13314" max="13314" width="5.5703125" style="57" customWidth="1"/>
    <col min="13315" max="13315" width="36.42578125" style="57" bestFit="1" customWidth="1"/>
    <col min="13316" max="13316" width="12.7109375" style="57" customWidth="1"/>
    <col min="13317" max="13317" width="13.140625" style="57" customWidth="1"/>
    <col min="13318" max="13318" width="11.5703125" style="57" bestFit="1" customWidth="1"/>
    <col min="13319" max="13319" width="14.28515625" style="57" customWidth="1"/>
    <col min="13320" max="13320" width="7.85546875" style="57" bestFit="1" customWidth="1"/>
    <col min="13321" max="13321" width="11.5703125" style="57" bestFit="1" customWidth="1"/>
    <col min="13322" max="13322" width="13.85546875" style="57" customWidth="1"/>
    <col min="13323" max="13323" width="8.7109375" style="57" bestFit="1" customWidth="1"/>
    <col min="13324" max="13568" width="9.140625" style="57"/>
    <col min="13569" max="13569" width="2.7109375" style="57" customWidth="1"/>
    <col min="13570" max="13570" width="5.5703125" style="57" customWidth="1"/>
    <col min="13571" max="13571" width="36.42578125" style="57" bestFit="1" customWidth="1"/>
    <col min="13572" max="13572" width="12.7109375" style="57" customWidth="1"/>
    <col min="13573" max="13573" width="13.140625" style="57" customWidth="1"/>
    <col min="13574" max="13574" width="11.5703125" style="57" bestFit="1" customWidth="1"/>
    <col min="13575" max="13575" width="14.28515625" style="57" customWidth="1"/>
    <col min="13576" max="13576" width="7.85546875" style="57" bestFit="1" customWidth="1"/>
    <col min="13577" max="13577" width="11.5703125" style="57" bestFit="1" customWidth="1"/>
    <col min="13578" max="13578" width="13.85546875" style="57" customWidth="1"/>
    <col min="13579" max="13579" width="8.7109375" style="57" bestFit="1" customWidth="1"/>
    <col min="13580" max="13824" width="9.140625" style="57"/>
    <col min="13825" max="13825" width="2.7109375" style="57" customWidth="1"/>
    <col min="13826" max="13826" width="5.5703125" style="57" customWidth="1"/>
    <col min="13827" max="13827" width="36.42578125" style="57" bestFit="1" customWidth="1"/>
    <col min="13828" max="13828" width="12.7109375" style="57" customWidth="1"/>
    <col min="13829" max="13829" width="13.140625" style="57" customWidth="1"/>
    <col min="13830" max="13830" width="11.5703125" style="57" bestFit="1" customWidth="1"/>
    <col min="13831" max="13831" width="14.28515625" style="57" customWidth="1"/>
    <col min="13832" max="13832" width="7.85546875" style="57" bestFit="1" customWidth="1"/>
    <col min="13833" max="13833" width="11.5703125" style="57" bestFit="1" customWidth="1"/>
    <col min="13834" max="13834" width="13.85546875" style="57" customWidth="1"/>
    <col min="13835" max="13835" width="8.7109375" style="57" bestFit="1" customWidth="1"/>
    <col min="13836" max="14080" width="9.140625" style="57"/>
    <col min="14081" max="14081" width="2.7109375" style="57" customWidth="1"/>
    <col min="14082" max="14082" width="5.5703125" style="57" customWidth="1"/>
    <col min="14083" max="14083" width="36.42578125" style="57" bestFit="1" customWidth="1"/>
    <col min="14084" max="14084" width="12.7109375" style="57" customWidth="1"/>
    <col min="14085" max="14085" width="13.140625" style="57" customWidth="1"/>
    <col min="14086" max="14086" width="11.5703125" style="57" bestFit="1" customWidth="1"/>
    <col min="14087" max="14087" width="14.28515625" style="57" customWidth="1"/>
    <col min="14088" max="14088" width="7.85546875" style="57" bestFit="1" customWidth="1"/>
    <col min="14089" max="14089" width="11.5703125" style="57" bestFit="1" customWidth="1"/>
    <col min="14090" max="14090" width="13.85546875" style="57" customWidth="1"/>
    <col min="14091" max="14091" width="8.7109375" style="57" bestFit="1" customWidth="1"/>
    <col min="14092" max="14336" width="9.140625" style="57"/>
    <col min="14337" max="14337" width="2.7109375" style="57" customWidth="1"/>
    <col min="14338" max="14338" width="5.5703125" style="57" customWidth="1"/>
    <col min="14339" max="14339" width="36.42578125" style="57" bestFit="1" customWidth="1"/>
    <col min="14340" max="14340" width="12.7109375" style="57" customWidth="1"/>
    <col min="14341" max="14341" width="13.140625" style="57" customWidth="1"/>
    <col min="14342" max="14342" width="11.5703125" style="57" bestFit="1" customWidth="1"/>
    <col min="14343" max="14343" width="14.28515625" style="57" customWidth="1"/>
    <col min="14344" max="14344" width="7.85546875" style="57" bestFit="1" customWidth="1"/>
    <col min="14345" max="14345" width="11.5703125" style="57" bestFit="1" customWidth="1"/>
    <col min="14346" max="14346" width="13.85546875" style="57" customWidth="1"/>
    <col min="14347" max="14347" width="8.7109375" style="57" bestFit="1" customWidth="1"/>
    <col min="14348" max="14592" width="9.140625" style="57"/>
    <col min="14593" max="14593" width="2.7109375" style="57" customWidth="1"/>
    <col min="14594" max="14594" width="5.5703125" style="57" customWidth="1"/>
    <col min="14595" max="14595" width="36.42578125" style="57" bestFit="1" customWidth="1"/>
    <col min="14596" max="14596" width="12.7109375" style="57" customWidth="1"/>
    <col min="14597" max="14597" width="13.140625" style="57" customWidth="1"/>
    <col min="14598" max="14598" width="11.5703125" style="57" bestFit="1" customWidth="1"/>
    <col min="14599" max="14599" width="14.28515625" style="57" customWidth="1"/>
    <col min="14600" max="14600" width="7.85546875" style="57" bestFit="1" customWidth="1"/>
    <col min="14601" max="14601" width="11.5703125" style="57" bestFit="1" customWidth="1"/>
    <col min="14602" max="14602" width="13.85546875" style="57" customWidth="1"/>
    <col min="14603" max="14603" width="8.7109375" style="57" bestFit="1" customWidth="1"/>
    <col min="14604" max="14848" width="9.140625" style="57"/>
    <col min="14849" max="14849" width="2.7109375" style="57" customWidth="1"/>
    <col min="14850" max="14850" width="5.5703125" style="57" customWidth="1"/>
    <col min="14851" max="14851" width="36.42578125" style="57" bestFit="1" customWidth="1"/>
    <col min="14852" max="14852" width="12.7109375" style="57" customWidth="1"/>
    <col min="14853" max="14853" width="13.140625" style="57" customWidth="1"/>
    <col min="14854" max="14854" width="11.5703125" style="57" bestFit="1" customWidth="1"/>
    <col min="14855" max="14855" width="14.28515625" style="57" customWidth="1"/>
    <col min="14856" max="14856" width="7.85546875" style="57" bestFit="1" customWidth="1"/>
    <col min="14857" max="14857" width="11.5703125" style="57" bestFit="1" customWidth="1"/>
    <col min="14858" max="14858" width="13.85546875" style="57" customWidth="1"/>
    <col min="14859" max="14859" width="8.7109375" style="57" bestFit="1" customWidth="1"/>
    <col min="14860" max="15104" width="9.140625" style="57"/>
    <col min="15105" max="15105" width="2.7109375" style="57" customWidth="1"/>
    <col min="15106" max="15106" width="5.5703125" style="57" customWidth="1"/>
    <col min="15107" max="15107" width="36.42578125" style="57" bestFit="1" customWidth="1"/>
    <col min="15108" max="15108" width="12.7109375" style="57" customWidth="1"/>
    <col min="15109" max="15109" width="13.140625" style="57" customWidth="1"/>
    <col min="15110" max="15110" width="11.5703125" style="57" bestFit="1" customWidth="1"/>
    <col min="15111" max="15111" width="14.28515625" style="57" customWidth="1"/>
    <col min="15112" max="15112" width="7.85546875" style="57" bestFit="1" customWidth="1"/>
    <col min="15113" max="15113" width="11.5703125" style="57" bestFit="1" customWidth="1"/>
    <col min="15114" max="15114" width="13.85546875" style="57" customWidth="1"/>
    <col min="15115" max="15115" width="8.7109375" style="57" bestFit="1" customWidth="1"/>
    <col min="15116" max="15360" width="9.140625" style="57"/>
    <col min="15361" max="15361" width="2.7109375" style="57" customWidth="1"/>
    <col min="15362" max="15362" width="5.5703125" style="57" customWidth="1"/>
    <col min="15363" max="15363" width="36.42578125" style="57" bestFit="1" customWidth="1"/>
    <col min="15364" max="15364" width="12.7109375" style="57" customWidth="1"/>
    <col min="15365" max="15365" width="13.140625" style="57" customWidth="1"/>
    <col min="15366" max="15366" width="11.5703125" style="57" bestFit="1" customWidth="1"/>
    <col min="15367" max="15367" width="14.28515625" style="57" customWidth="1"/>
    <col min="15368" max="15368" width="7.85546875" style="57" bestFit="1" customWidth="1"/>
    <col min="15369" max="15369" width="11.5703125" style="57" bestFit="1" customWidth="1"/>
    <col min="15370" max="15370" width="13.85546875" style="57" customWidth="1"/>
    <col min="15371" max="15371" width="8.7109375" style="57" bestFit="1" customWidth="1"/>
    <col min="15372" max="15616" width="9.140625" style="57"/>
    <col min="15617" max="15617" width="2.7109375" style="57" customWidth="1"/>
    <col min="15618" max="15618" width="5.5703125" style="57" customWidth="1"/>
    <col min="15619" max="15619" width="36.42578125" style="57" bestFit="1" customWidth="1"/>
    <col min="15620" max="15620" width="12.7109375" style="57" customWidth="1"/>
    <col min="15621" max="15621" width="13.140625" style="57" customWidth="1"/>
    <col min="15622" max="15622" width="11.5703125" style="57" bestFit="1" customWidth="1"/>
    <col min="15623" max="15623" width="14.28515625" style="57" customWidth="1"/>
    <col min="15624" max="15624" width="7.85546875" style="57" bestFit="1" customWidth="1"/>
    <col min="15625" max="15625" width="11.5703125" style="57" bestFit="1" customWidth="1"/>
    <col min="15626" max="15626" width="13.85546875" style="57" customWidth="1"/>
    <col min="15627" max="15627" width="8.7109375" style="57" bestFit="1" customWidth="1"/>
    <col min="15628" max="15872" width="9.140625" style="57"/>
    <col min="15873" max="15873" width="2.7109375" style="57" customWidth="1"/>
    <col min="15874" max="15874" width="5.5703125" style="57" customWidth="1"/>
    <col min="15875" max="15875" width="36.42578125" style="57" bestFit="1" customWidth="1"/>
    <col min="15876" max="15876" width="12.7109375" style="57" customWidth="1"/>
    <col min="15877" max="15877" width="13.140625" style="57" customWidth="1"/>
    <col min="15878" max="15878" width="11.5703125" style="57" bestFit="1" customWidth="1"/>
    <col min="15879" max="15879" width="14.28515625" style="57" customWidth="1"/>
    <col min="15880" max="15880" width="7.85546875" style="57" bestFit="1" customWidth="1"/>
    <col min="15881" max="15881" width="11.5703125" style="57" bestFit="1" customWidth="1"/>
    <col min="15882" max="15882" width="13.85546875" style="57" customWidth="1"/>
    <col min="15883" max="15883" width="8.7109375" style="57" bestFit="1" customWidth="1"/>
    <col min="15884" max="16128" width="9.140625" style="57"/>
    <col min="16129" max="16129" width="2.7109375" style="57" customWidth="1"/>
    <col min="16130" max="16130" width="5.5703125" style="57" customWidth="1"/>
    <col min="16131" max="16131" width="36.42578125" style="57" bestFit="1" customWidth="1"/>
    <col min="16132" max="16132" width="12.7109375" style="57" customWidth="1"/>
    <col min="16133" max="16133" width="13.140625" style="57" customWidth="1"/>
    <col min="16134" max="16134" width="11.5703125" style="57" bestFit="1" customWidth="1"/>
    <col min="16135" max="16135" width="14.28515625" style="57" customWidth="1"/>
    <col min="16136" max="16136" width="7.85546875" style="57" bestFit="1" customWidth="1"/>
    <col min="16137" max="16137" width="11.5703125" style="57" bestFit="1" customWidth="1"/>
    <col min="16138" max="16138" width="13.85546875" style="57" customWidth="1"/>
    <col min="16139" max="16139" width="8.7109375" style="57" bestFit="1" customWidth="1"/>
    <col min="16140" max="16384" width="9.140625" style="57"/>
  </cols>
  <sheetData>
    <row r="1" spans="1:12" ht="26.25">
      <c r="A1" s="301" t="s">
        <v>1068</v>
      </c>
      <c r="B1" s="301"/>
      <c r="C1" s="301"/>
      <c r="D1" s="301"/>
      <c r="E1" s="301"/>
      <c r="F1" s="301"/>
      <c r="G1" s="301"/>
      <c r="H1" s="301"/>
      <c r="I1" s="301"/>
      <c r="J1" s="301"/>
      <c r="K1" s="301"/>
    </row>
    <row r="2" spans="1:12" ht="12.75" customHeight="1">
      <c r="A2" s="165"/>
      <c r="B2" s="302"/>
      <c r="C2" s="305" t="s">
        <v>9</v>
      </c>
      <c r="D2" s="307" t="s">
        <v>1063</v>
      </c>
      <c r="E2" s="308"/>
      <c r="F2" s="307" t="s">
        <v>1064</v>
      </c>
      <c r="G2" s="308"/>
      <c r="H2" s="103" t="s">
        <v>68</v>
      </c>
      <c r="I2" s="307" t="s">
        <v>1065</v>
      </c>
      <c r="J2" s="308"/>
      <c r="K2" s="103" t="s">
        <v>68</v>
      </c>
    </row>
    <row r="3" spans="1:12" ht="12.75" customHeight="1">
      <c r="A3" s="165"/>
      <c r="B3" s="303"/>
      <c r="C3" s="306"/>
      <c r="D3" s="307" t="s">
        <v>271</v>
      </c>
      <c r="E3" s="308"/>
      <c r="F3" s="307" t="s">
        <v>272</v>
      </c>
      <c r="G3" s="308"/>
      <c r="H3" s="103"/>
      <c r="I3" s="307" t="s">
        <v>282</v>
      </c>
      <c r="J3" s="308"/>
      <c r="K3" s="103"/>
    </row>
    <row r="4" spans="1:12">
      <c r="A4" s="165"/>
      <c r="B4" s="303"/>
      <c r="C4" s="306"/>
      <c r="D4" s="103" t="s">
        <v>8</v>
      </c>
      <c r="E4" s="103" t="s">
        <v>103</v>
      </c>
      <c r="F4" s="103" t="s">
        <v>8</v>
      </c>
      <c r="G4" s="103" t="s">
        <v>103</v>
      </c>
      <c r="H4" s="103" t="s">
        <v>70</v>
      </c>
      <c r="I4" s="103" t="s">
        <v>8</v>
      </c>
      <c r="J4" s="103" t="s">
        <v>103</v>
      </c>
      <c r="K4" s="103" t="s">
        <v>70</v>
      </c>
    </row>
    <row r="5" spans="1:12">
      <c r="A5" s="165"/>
      <c r="B5" s="304"/>
      <c r="C5" s="306"/>
      <c r="D5" s="103" t="s">
        <v>10</v>
      </c>
      <c r="E5" s="103" t="s">
        <v>105</v>
      </c>
      <c r="F5" s="103" t="s">
        <v>10</v>
      </c>
      <c r="G5" s="103" t="s">
        <v>105</v>
      </c>
      <c r="H5" s="104" t="s">
        <v>69</v>
      </c>
      <c r="I5" s="103" t="s">
        <v>10</v>
      </c>
      <c r="J5" s="103" t="s">
        <v>105</v>
      </c>
      <c r="K5" s="104" t="s">
        <v>69</v>
      </c>
    </row>
    <row r="6" spans="1:12" ht="15">
      <c r="A6" s="165"/>
      <c r="B6" s="62">
        <v>1</v>
      </c>
      <c r="C6" s="146" t="s">
        <v>11</v>
      </c>
      <c r="D6" s="207">
        <f>SUM(D7:D20)</f>
        <v>20584.080000000005</v>
      </c>
      <c r="E6" s="157">
        <f>SUM(E7:E20)</f>
        <v>4406.4599999999991</v>
      </c>
      <c r="F6" s="207">
        <f>SUM(F7:F20)</f>
        <v>33849.960000000006</v>
      </c>
      <c r="G6" s="207">
        <f>SUM(G7:G20)</f>
        <v>9996.2500000000036</v>
      </c>
      <c r="H6" s="278">
        <f t="shared" ref="H6:H18" si="0">SUM(G6-E6)*100/E6</f>
        <v>126.8544364410435</v>
      </c>
      <c r="I6" s="158">
        <f>SUM(I7:I21)</f>
        <v>85099.405000000013</v>
      </c>
      <c r="J6" s="158">
        <f>SUM(J7:J19)</f>
        <v>28333.206808899995</v>
      </c>
      <c r="K6" s="220">
        <f t="shared" ref="K6:K18" si="1">SUM(J6-G6)*100/G6</f>
        <v>183.43835747305224</v>
      </c>
    </row>
    <row r="7" spans="1:12" ht="15">
      <c r="A7" s="165"/>
      <c r="B7" s="62" t="s">
        <v>48</v>
      </c>
      <c r="C7" s="80" t="s">
        <v>60</v>
      </c>
      <c r="D7" s="205">
        <v>4989.3100000000004</v>
      </c>
      <c r="E7" s="208">
        <v>1600.83</v>
      </c>
      <c r="F7" s="205">
        <v>18993.3</v>
      </c>
      <c r="G7" s="206">
        <v>6312.67</v>
      </c>
      <c r="H7" s="223">
        <f t="shared" si="0"/>
        <v>294.33731251913071</v>
      </c>
      <c r="I7" s="299">
        <v>40411.71</v>
      </c>
      <c r="J7" s="299">
        <v>16699.169999999998</v>
      </c>
      <c r="K7" s="207">
        <f t="shared" si="1"/>
        <v>164.53418284180859</v>
      </c>
      <c r="L7" s="122"/>
    </row>
    <row r="8" spans="1:12" ht="15">
      <c r="A8" s="165"/>
      <c r="B8" s="62" t="s">
        <v>49</v>
      </c>
      <c r="C8" s="80" t="s">
        <v>13</v>
      </c>
      <c r="D8" s="205">
        <v>1210.26</v>
      </c>
      <c r="E8" s="208">
        <v>154.33000000000001</v>
      </c>
      <c r="F8" s="205">
        <v>1544.23</v>
      </c>
      <c r="G8" s="206">
        <v>201.96</v>
      </c>
      <c r="H8" s="223">
        <f t="shared" si="0"/>
        <v>30.862437633642191</v>
      </c>
      <c r="I8" s="299">
        <v>2119.2199999999998</v>
      </c>
      <c r="J8" s="300">
        <v>404.92</v>
      </c>
      <c r="K8" s="207">
        <f t="shared" si="1"/>
        <v>100.49514755397108</v>
      </c>
      <c r="L8" s="122"/>
    </row>
    <row r="9" spans="1:12" ht="15">
      <c r="A9" s="165"/>
      <c r="B9" s="62" t="s">
        <v>50</v>
      </c>
      <c r="C9" s="80" t="s">
        <v>15</v>
      </c>
      <c r="D9" s="205">
        <v>1295.5899999999999</v>
      </c>
      <c r="E9" s="208">
        <v>170.02</v>
      </c>
      <c r="F9" s="205">
        <v>155.24</v>
      </c>
      <c r="G9" s="206">
        <v>34.880000000000003</v>
      </c>
      <c r="H9" s="223">
        <f t="shared" si="0"/>
        <v>-79.484766498059059</v>
      </c>
      <c r="I9" s="300">
        <v>681.15</v>
      </c>
      <c r="J9" s="300">
        <v>200.28</v>
      </c>
      <c r="K9" s="207">
        <f t="shared" si="1"/>
        <v>474.19724770642199</v>
      </c>
    </row>
    <row r="10" spans="1:12" ht="15">
      <c r="A10" s="165"/>
      <c r="B10" s="62" t="s">
        <v>51</v>
      </c>
      <c r="C10" s="80" t="s">
        <v>14</v>
      </c>
      <c r="D10" s="205">
        <v>1021.08</v>
      </c>
      <c r="E10" s="208">
        <v>788.46</v>
      </c>
      <c r="F10" s="205">
        <v>1.98</v>
      </c>
      <c r="G10" s="206">
        <v>10.68</v>
      </c>
      <c r="H10" s="223">
        <f t="shared" si="0"/>
        <v>-98.645460771630795</v>
      </c>
      <c r="I10" s="300">
        <v>621.29999999999995</v>
      </c>
      <c r="J10" s="300">
        <v>88.11</v>
      </c>
      <c r="K10" s="207">
        <f t="shared" si="1"/>
        <v>725.00000000000011</v>
      </c>
    </row>
    <row r="11" spans="1:12" ht="15">
      <c r="A11" s="165"/>
      <c r="B11" s="62" t="s">
        <v>52</v>
      </c>
      <c r="C11" s="80" t="s">
        <v>16</v>
      </c>
      <c r="D11" s="205">
        <v>137.71</v>
      </c>
      <c r="E11" s="208">
        <v>57.48</v>
      </c>
      <c r="F11" s="205">
        <v>632.65</v>
      </c>
      <c r="G11" s="206">
        <v>389.6</v>
      </c>
      <c r="H11" s="223">
        <f t="shared" si="0"/>
        <v>577.80097425191377</v>
      </c>
      <c r="I11" s="300">
        <v>665.79</v>
      </c>
      <c r="J11" s="300">
        <v>412.36</v>
      </c>
      <c r="K11" s="207">
        <f t="shared" si="1"/>
        <v>5.8418891170431184</v>
      </c>
    </row>
    <row r="12" spans="1:12" ht="15">
      <c r="A12" s="165"/>
      <c r="B12" s="62" t="s">
        <v>53</v>
      </c>
      <c r="C12" s="80" t="s">
        <v>273</v>
      </c>
      <c r="D12" s="205">
        <v>5156.7700000000004</v>
      </c>
      <c r="E12" s="208">
        <v>703.83</v>
      </c>
      <c r="F12" s="205">
        <v>1773.79</v>
      </c>
      <c r="G12" s="206">
        <v>1304.3599999999999</v>
      </c>
      <c r="H12" s="223">
        <f t="shared" si="0"/>
        <v>85.323160422261026</v>
      </c>
      <c r="I12" s="299">
        <v>4308.97</v>
      </c>
      <c r="J12" s="299">
        <v>2197.84</v>
      </c>
      <c r="K12" s="207">
        <f t="shared" si="1"/>
        <v>68.499494004722649</v>
      </c>
    </row>
    <row r="13" spans="1:12" ht="15">
      <c r="A13" s="165"/>
      <c r="B13" s="62" t="s">
        <v>54</v>
      </c>
      <c r="C13" s="80" t="s">
        <v>5</v>
      </c>
      <c r="D13" s="205">
        <v>1.29</v>
      </c>
      <c r="E13" s="208">
        <v>3.46</v>
      </c>
      <c r="F13" s="205">
        <v>1.4</v>
      </c>
      <c r="G13" s="206">
        <v>2.44</v>
      </c>
      <c r="H13" s="223">
        <f t="shared" si="0"/>
        <v>-29.479768786127167</v>
      </c>
      <c r="I13" s="300">
        <v>2.04</v>
      </c>
      <c r="J13" s="300">
        <v>3.55</v>
      </c>
      <c r="K13" s="207">
        <f t="shared" si="1"/>
        <v>45.491803278688522</v>
      </c>
    </row>
    <row r="14" spans="1:12" ht="15">
      <c r="A14" s="165"/>
      <c r="B14" s="62" t="s">
        <v>55</v>
      </c>
      <c r="C14" s="80" t="s">
        <v>12</v>
      </c>
      <c r="D14" s="205">
        <v>722.59</v>
      </c>
      <c r="E14" s="208">
        <v>136.27000000000001</v>
      </c>
      <c r="F14" s="205">
        <v>2091.4499999999998</v>
      </c>
      <c r="G14" s="206">
        <v>659.21</v>
      </c>
      <c r="H14" s="223">
        <f t="shared" si="0"/>
        <v>383.75284361928527</v>
      </c>
      <c r="I14" s="299">
        <v>5220.55</v>
      </c>
      <c r="J14" s="299">
        <v>3184.97</v>
      </c>
      <c r="K14" s="207">
        <f t="shared" si="1"/>
        <v>383.14952746469254</v>
      </c>
    </row>
    <row r="15" spans="1:12" ht="15">
      <c r="A15" s="165"/>
      <c r="B15" s="62" t="s">
        <v>1</v>
      </c>
      <c r="C15" s="80" t="s">
        <v>59</v>
      </c>
      <c r="D15" s="205">
        <v>2870.17</v>
      </c>
      <c r="E15" s="208">
        <v>352.37</v>
      </c>
      <c r="F15" s="205">
        <v>3907.11</v>
      </c>
      <c r="G15" s="206">
        <v>535.86</v>
      </c>
      <c r="H15" s="223">
        <f t="shared" si="0"/>
        <v>52.073104974884352</v>
      </c>
      <c r="I15" s="299">
        <v>8419.42</v>
      </c>
      <c r="J15" s="299">
        <v>2034.92</v>
      </c>
      <c r="K15" s="207">
        <f t="shared" si="1"/>
        <v>279.74844175717539</v>
      </c>
    </row>
    <row r="16" spans="1:12" ht="15">
      <c r="A16" s="165"/>
      <c r="B16" s="62" t="s">
        <v>97</v>
      </c>
      <c r="C16" s="80" t="s">
        <v>99</v>
      </c>
      <c r="D16" s="205">
        <v>50.6</v>
      </c>
      <c r="E16" s="208">
        <v>1.68</v>
      </c>
      <c r="F16" s="205">
        <v>417.75</v>
      </c>
      <c r="G16" s="206">
        <v>10.68</v>
      </c>
      <c r="H16" s="223">
        <f t="shared" si="0"/>
        <v>535.71428571428578</v>
      </c>
      <c r="I16" s="299">
        <v>11193.39</v>
      </c>
      <c r="J16" s="300">
        <v>123.95</v>
      </c>
      <c r="K16" s="207">
        <f t="shared" si="1"/>
        <v>1060.5805243445695</v>
      </c>
    </row>
    <row r="17" spans="1:14" ht="15">
      <c r="A17" s="165"/>
      <c r="B17" s="62" t="s">
        <v>98</v>
      </c>
      <c r="C17" s="80" t="s">
        <v>274</v>
      </c>
      <c r="D17" s="205">
        <v>0.33</v>
      </c>
      <c r="E17" s="208">
        <v>0.31</v>
      </c>
      <c r="F17" s="205">
        <v>12.84</v>
      </c>
      <c r="G17" s="206">
        <v>9.7200000000000006</v>
      </c>
      <c r="H17" s="223">
        <f t="shared" si="0"/>
        <v>3035.483870967742</v>
      </c>
      <c r="I17" s="300">
        <v>18.510000000000002</v>
      </c>
      <c r="J17" s="300">
        <v>15.86</v>
      </c>
      <c r="K17" s="207">
        <f t="shared" si="1"/>
        <v>63.168724279835374</v>
      </c>
    </row>
    <row r="18" spans="1:14" ht="15">
      <c r="A18" s="165"/>
      <c r="B18" s="62" t="s">
        <v>275</v>
      </c>
      <c r="C18" s="80" t="s">
        <v>102</v>
      </c>
      <c r="D18" s="205">
        <v>3128.38</v>
      </c>
      <c r="E18" s="208">
        <v>437.42</v>
      </c>
      <c r="F18" s="205">
        <v>4318.22</v>
      </c>
      <c r="G18" s="206">
        <v>524.19000000000005</v>
      </c>
      <c r="H18" s="223">
        <f t="shared" si="0"/>
        <v>19.83677015225642</v>
      </c>
      <c r="I18" s="299">
        <v>6576.71</v>
      </c>
      <c r="J18" s="299">
        <v>1606.03</v>
      </c>
      <c r="K18" s="207">
        <f t="shared" si="1"/>
        <v>206.38318167076818</v>
      </c>
    </row>
    <row r="19" spans="1:14" ht="15">
      <c r="A19" s="165"/>
      <c r="B19" s="62"/>
      <c r="C19" s="100" t="s">
        <v>270</v>
      </c>
      <c r="D19" s="202"/>
      <c r="E19" s="203"/>
      <c r="F19" s="204"/>
      <c r="G19" s="204"/>
      <c r="H19" s="204"/>
      <c r="I19" s="208">
        <v>4860.6449999999995</v>
      </c>
      <c r="J19" s="208">
        <v>1361.2468089000001</v>
      </c>
      <c r="K19" s="207"/>
    </row>
    <row r="20" spans="1:14" ht="15">
      <c r="A20" s="165"/>
      <c r="B20" s="62"/>
      <c r="C20" s="80" t="s">
        <v>78</v>
      </c>
      <c r="D20" s="202"/>
      <c r="E20" s="203"/>
      <c r="F20" s="205"/>
      <c r="G20" s="206"/>
      <c r="H20" s="223"/>
      <c r="I20" s="208"/>
      <c r="J20" s="205"/>
      <c r="K20" s="158"/>
    </row>
    <row r="21" spans="1:14" ht="15">
      <c r="A21" s="165"/>
      <c r="B21" s="62"/>
      <c r="C21" s="80" t="s">
        <v>77</v>
      </c>
      <c r="D21" s="205">
        <v>1000</v>
      </c>
      <c r="E21" s="208">
        <v>103</v>
      </c>
      <c r="F21" s="205"/>
      <c r="G21" s="206"/>
      <c r="H21" s="158"/>
      <c r="I21" s="205"/>
      <c r="J21" s="208"/>
      <c r="K21" s="158"/>
    </row>
    <row r="22" spans="1:14" ht="15">
      <c r="A22" s="165"/>
      <c r="B22" s="62">
        <v>2</v>
      </c>
      <c r="C22" s="147" t="s">
        <v>276</v>
      </c>
      <c r="D22" s="209">
        <v>117</v>
      </c>
      <c r="E22" s="158"/>
      <c r="F22" s="209">
        <v>115</v>
      </c>
      <c r="G22" s="158"/>
      <c r="H22" s="158"/>
      <c r="I22" s="209">
        <v>135</v>
      </c>
      <c r="J22" s="158"/>
      <c r="K22" s="158">
        <f>SUM(I22-F22)*100/F22</f>
        <v>17.391304347826086</v>
      </c>
      <c r="L22" s="122"/>
    </row>
    <row r="23" spans="1:14" ht="15">
      <c r="A23" s="165"/>
      <c r="B23" s="62">
        <v>3</v>
      </c>
      <c r="C23" s="147" t="s">
        <v>277</v>
      </c>
      <c r="D23" s="207">
        <v>113.50376068376066</v>
      </c>
      <c r="E23" s="158">
        <v>29.585726495726497</v>
      </c>
      <c r="F23" s="207">
        <f>+F7/F22</f>
        <v>165.15913043478261</v>
      </c>
      <c r="G23" s="158">
        <f>+G7/F22</f>
        <v>54.892782608695654</v>
      </c>
      <c r="H23" s="158"/>
      <c r="I23" s="207">
        <f>+I6/I22</f>
        <v>630.36596296296307</v>
      </c>
      <c r="J23" s="158">
        <f>+J6/I22</f>
        <v>209.87560599185181</v>
      </c>
      <c r="K23" s="158">
        <f>SUM(J23-G23)*100/G23</f>
        <v>282.337342029014</v>
      </c>
    </row>
    <row r="24" spans="1:14" ht="15">
      <c r="A24" s="165"/>
      <c r="B24" s="62">
        <v>4</v>
      </c>
      <c r="C24" s="147" t="s">
        <v>278</v>
      </c>
      <c r="D24" s="209">
        <v>136855</v>
      </c>
      <c r="E24" s="210"/>
      <c r="F24" s="209">
        <v>155021</v>
      </c>
      <c r="G24" s="210"/>
      <c r="H24" s="158">
        <f>SUM(F24-D24)*100/D24</f>
        <v>13.273903036060064</v>
      </c>
      <c r="I24" s="209">
        <v>263192</v>
      </c>
      <c r="J24" s="210"/>
      <c r="K24" s="158">
        <f>SUM(I24-F24)*100/F24</f>
        <v>69.778288102902181</v>
      </c>
    </row>
    <row r="25" spans="1:14" ht="15">
      <c r="A25" s="165"/>
      <c r="B25" s="62">
        <v>5</v>
      </c>
      <c r="C25" s="147" t="s">
        <v>136</v>
      </c>
      <c r="D25" s="209">
        <v>195</v>
      </c>
      <c r="E25" s="210"/>
      <c r="F25" s="209">
        <v>203</v>
      </c>
      <c r="G25" s="210"/>
      <c r="H25" s="158">
        <f>SUM(F25-D25)*100/D25</f>
        <v>4.1025641025641022</v>
      </c>
      <c r="I25" s="209">
        <v>230</v>
      </c>
      <c r="J25" s="210"/>
      <c r="K25" s="158">
        <f>SUM(I25-F25)*100/F25</f>
        <v>13.300492610837438</v>
      </c>
    </row>
    <row r="26" spans="1:14" ht="15">
      <c r="A26" s="165"/>
      <c r="B26" s="62">
        <v>7</v>
      </c>
      <c r="C26" s="147" t="s">
        <v>20</v>
      </c>
      <c r="D26" s="209">
        <v>195</v>
      </c>
      <c r="E26" s="210"/>
      <c r="F26" s="209">
        <v>214</v>
      </c>
      <c r="G26" s="210"/>
      <c r="H26" s="158"/>
      <c r="I26" s="209">
        <v>234</v>
      </c>
      <c r="J26" s="210"/>
      <c r="K26" s="158">
        <f>SUM(I26-F26)*100/F26</f>
        <v>9.3457943925233646</v>
      </c>
    </row>
    <row r="27" spans="1:14" ht="15">
      <c r="A27" s="165"/>
      <c r="B27" s="62">
        <v>8</v>
      </c>
      <c r="C27" s="147" t="s">
        <v>279</v>
      </c>
      <c r="D27" s="209"/>
      <c r="E27" s="159">
        <v>93817</v>
      </c>
      <c r="F27" s="209"/>
      <c r="G27" s="159">
        <v>106449</v>
      </c>
      <c r="H27" s="158">
        <f>SUM(G27-E27)*100/E27</f>
        <v>13.464510696355671</v>
      </c>
      <c r="I27" s="209"/>
      <c r="J27" s="159">
        <v>136817</v>
      </c>
      <c r="K27" s="158">
        <f>SUM(J27-G27)*100/G27</f>
        <v>28.528215389529258</v>
      </c>
      <c r="N27" s="148"/>
    </row>
    <row r="28" spans="1:14" ht="15">
      <c r="A28" s="165"/>
      <c r="B28" s="62">
        <v>9</v>
      </c>
      <c r="C28" s="147" t="s">
        <v>57</v>
      </c>
      <c r="D28" s="159">
        <v>931729</v>
      </c>
      <c r="E28" s="210"/>
      <c r="F28" s="159">
        <v>1098471</v>
      </c>
      <c r="G28" s="210"/>
      <c r="H28" s="158">
        <f>SUM(F28-D28)*100/D28</f>
        <v>17.895976190501745</v>
      </c>
      <c r="I28" s="209">
        <v>1418105</v>
      </c>
      <c r="J28" s="210"/>
      <c r="K28" s="158">
        <f>SUM(I28-F28)*100/F28</f>
        <v>29.098082698587401</v>
      </c>
    </row>
    <row r="29" spans="1:14" ht="15">
      <c r="A29" s="165"/>
      <c r="B29" s="62">
        <v>10</v>
      </c>
      <c r="C29" s="147" t="s">
        <v>56</v>
      </c>
      <c r="D29" s="209"/>
      <c r="E29" s="158">
        <v>349283.36</v>
      </c>
      <c r="F29" s="209"/>
      <c r="G29" s="158">
        <v>300428.78999999998</v>
      </c>
      <c r="H29" s="158">
        <f>SUM(G29-E29)*100/E29</f>
        <v>-13.987087733008527</v>
      </c>
      <c r="I29" s="209"/>
      <c r="J29" s="158">
        <v>799760.34</v>
      </c>
      <c r="K29" s="158">
        <f>SUM(J29-G29)*100/G29</f>
        <v>166.20629134777664</v>
      </c>
    </row>
    <row r="30" spans="1:14" ht="15">
      <c r="A30" s="165"/>
      <c r="B30" s="62"/>
      <c r="C30" s="147" t="s">
        <v>114</v>
      </c>
      <c r="D30" s="211"/>
      <c r="E30" s="210"/>
      <c r="F30" s="211"/>
      <c r="G30" s="210"/>
      <c r="H30" s="158"/>
      <c r="I30" s="283"/>
      <c r="J30" s="281"/>
      <c r="K30" s="158"/>
    </row>
    <row r="31" spans="1:14" ht="15">
      <c r="A31" s="165"/>
      <c r="B31" s="62" t="s">
        <v>96</v>
      </c>
      <c r="C31" s="80" t="s">
        <v>21</v>
      </c>
      <c r="D31" s="213"/>
      <c r="E31" s="214">
        <v>472.29</v>
      </c>
      <c r="F31" s="213"/>
      <c r="G31" s="214">
        <v>380.23</v>
      </c>
      <c r="H31" s="212">
        <f>SUM(G31-E31)*100/E31</f>
        <v>-19.492261110758221</v>
      </c>
      <c r="I31" s="284"/>
      <c r="J31" s="214">
        <v>806.66</v>
      </c>
      <c r="K31" s="158">
        <f>SUM(J31-G31)*100/G31</f>
        <v>112.15054046235171</v>
      </c>
    </row>
    <row r="32" spans="1:14" ht="15">
      <c r="A32" s="165"/>
      <c r="B32" s="62" t="s">
        <v>96</v>
      </c>
      <c r="C32" s="80" t="s">
        <v>22</v>
      </c>
      <c r="D32" s="213"/>
      <c r="E32" s="214">
        <v>390.97</v>
      </c>
      <c r="F32" s="213"/>
      <c r="G32" s="214">
        <v>312.5</v>
      </c>
      <c r="H32" s="212">
        <f>SUM(G32-E32)*100/E32</f>
        <v>-20.070593651686835</v>
      </c>
      <c r="I32" s="284"/>
      <c r="J32" s="214">
        <v>509.36</v>
      </c>
      <c r="K32" s="158">
        <f>SUM(J32-G32)*100/G32</f>
        <v>62.995199999999997</v>
      </c>
    </row>
    <row r="33" spans="1:11" ht="15">
      <c r="A33" s="165"/>
      <c r="B33" s="62" t="s">
        <v>96</v>
      </c>
      <c r="C33" s="80" t="s">
        <v>23</v>
      </c>
      <c r="D33" s="213"/>
      <c r="E33" s="214">
        <v>402.75</v>
      </c>
      <c r="F33" s="213"/>
      <c r="G33" s="214">
        <v>323.62</v>
      </c>
      <c r="H33" s="212">
        <f>SUM(G33-E33)*100/E33</f>
        <v>-19.647423960273123</v>
      </c>
      <c r="I33" s="284"/>
      <c r="J33" s="214">
        <v>787.05</v>
      </c>
      <c r="K33" s="158">
        <f>SUM(J33-G33)*100/G33</f>
        <v>143.20190346702921</v>
      </c>
    </row>
    <row r="34" spans="1:11" ht="15">
      <c r="A34" s="165"/>
      <c r="B34" s="62">
        <v>11</v>
      </c>
      <c r="C34" s="147" t="s">
        <v>113</v>
      </c>
      <c r="D34" s="211"/>
      <c r="E34" s="158">
        <v>276017.5</v>
      </c>
      <c r="F34" s="211"/>
      <c r="G34" s="158">
        <v>260732.4</v>
      </c>
      <c r="H34" s="212">
        <f>SUM(G34-E34)*100/E34</f>
        <v>-5.5377285860497993</v>
      </c>
      <c r="I34" s="283"/>
      <c r="J34" s="207">
        <v>647127.66</v>
      </c>
      <c r="K34" s="158">
        <f>SUM(J34-G34)*100/G34</f>
        <v>148.19610451175228</v>
      </c>
    </row>
    <row r="35" spans="1:11" ht="15">
      <c r="A35" s="165"/>
      <c r="B35" s="62">
        <v>12</v>
      </c>
      <c r="C35" s="147" t="s">
        <v>280</v>
      </c>
      <c r="D35" s="211"/>
      <c r="E35" s="159">
        <v>45370</v>
      </c>
      <c r="F35" s="211"/>
      <c r="G35" s="159">
        <v>82240</v>
      </c>
      <c r="H35" s="212">
        <f>SUM(G35-E35)*100/E35</f>
        <v>81.26515318492396</v>
      </c>
      <c r="I35" s="283"/>
      <c r="J35" s="159">
        <v>97071</v>
      </c>
      <c r="K35" s="158">
        <f>SUM(J35-G35)*100/G35</f>
        <v>18.033803501945524</v>
      </c>
    </row>
    <row r="36" spans="1:11" ht="15">
      <c r="A36" s="165"/>
      <c r="B36" s="62">
        <v>13</v>
      </c>
      <c r="C36" s="147" t="s">
        <v>71</v>
      </c>
      <c r="D36" s="211"/>
      <c r="E36" s="158"/>
      <c r="F36" s="211"/>
      <c r="G36" s="158"/>
      <c r="H36" s="158"/>
      <c r="I36" s="283"/>
      <c r="J36" s="282"/>
      <c r="K36" s="158"/>
    </row>
    <row r="37" spans="1:11" ht="15">
      <c r="A37" s="165"/>
      <c r="B37" s="62" t="s">
        <v>96</v>
      </c>
      <c r="C37" s="80" t="s">
        <v>21</v>
      </c>
      <c r="D37" s="213"/>
      <c r="E37" s="214">
        <v>114.83</v>
      </c>
      <c r="F37" s="213"/>
      <c r="G37" s="214">
        <v>94.26</v>
      </c>
      <c r="H37" s="212">
        <f>SUM(G37-E37)*100/E37</f>
        <v>-17.913437255072708</v>
      </c>
      <c r="I37" s="284"/>
      <c r="J37" s="214">
        <v>201.62</v>
      </c>
      <c r="K37" s="158">
        <f>SUM(J37-G37)*100/G37</f>
        <v>113.89772968385317</v>
      </c>
    </row>
    <row r="38" spans="1:11" ht="15">
      <c r="A38" s="165"/>
      <c r="B38" s="62" t="s">
        <v>96</v>
      </c>
      <c r="C38" s="80" t="s">
        <v>22</v>
      </c>
      <c r="D38" s="213"/>
      <c r="E38" s="214">
        <v>95.79</v>
      </c>
      <c r="F38" s="213"/>
      <c r="G38" s="214">
        <v>77.400000000000006</v>
      </c>
      <c r="H38" s="212">
        <f>SUM(G38-E38)*100/E38</f>
        <v>-19.198246163482619</v>
      </c>
      <c r="I38" s="284"/>
      <c r="J38" s="214">
        <v>128.30000000000001</v>
      </c>
      <c r="K38" s="158">
        <f>SUM(J38-G38)*100/G38</f>
        <v>65.762273901808797</v>
      </c>
    </row>
    <row r="39" spans="1:11" ht="15">
      <c r="A39" s="165"/>
      <c r="B39" s="62" t="s">
        <v>96</v>
      </c>
      <c r="C39" s="80" t="s">
        <v>23</v>
      </c>
      <c r="D39" s="213"/>
      <c r="E39" s="214">
        <v>99.39</v>
      </c>
      <c r="F39" s="213"/>
      <c r="G39" s="214">
        <v>80.290000000000006</v>
      </c>
      <c r="H39" s="212">
        <f>SUM(G39-E39)*100/E39</f>
        <v>-19.217225072944959</v>
      </c>
      <c r="I39" s="284"/>
      <c r="J39" s="214">
        <v>193.38</v>
      </c>
      <c r="K39" s="158">
        <f>SUM(J39-G39)*100/G39</f>
        <v>140.85191181965371</v>
      </c>
    </row>
    <row r="40" spans="1:11" ht="15">
      <c r="A40" s="165"/>
      <c r="B40" s="62">
        <v>14</v>
      </c>
      <c r="C40" s="147" t="s">
        <v>281</v>
      </c>
      <c r="D40" s="213"/>
      <c r="E40" s="214"/>
      <c r="F40" s="213"/>
      <c r="G40" s="214"/>
      <c r="H40" s="212"/>
      <c r="I40" s="284"/>
      <c r="J40" s="285"/>
      <c r="K40" s="158"/>
    </row>
    <row r="41" spans="1:11" ht="15">
      <c r="A41" s="165"/>
      <c r="B41" s="62" t="s">
        <v>96</v>
      </c>
      <c r="C41" s="80" t="s">
        <v>21</v>
      </c>
      <c r="D41" s="213"/>
      <c r="E41" s="214">
        <v>43.56</v>
      </c>
      <c r="F41" s="213"/>
      <c r="G41" s="214">
        <v>32.15</v>
      </c>
      <c r="H41" s="212">
        <f>SUM(G41-E41)*100/E41</f>
        <v>-26.193755739210292</v>
      </c>
      <c r="I41" s="284"/>
      <c r="J41" s="214">
        <v>47.28</v>
      </c>
      <c r="K41" s="158">
        <f>SUM(J41-G41)*100/G41</f>
        <v>47.06065318818041</v>
      </c>
    </row>
    <row r="42" spans="1:11" ht="15">
      <c r="A42" s="165"/>
      <c r="B42" s="62" t="s">
        <v>96</v>
      </c>
      <c r="C42" s="80" t="s">
        <v>22</v>
      </c>
      <c r="D42" s="213"/>
      <c r="E42" s="214">
        <v>33.51</v>
      </c>
      <c r="F42" s="213"/>
      <c r="G42" s="214">
        <v>25.05</v>
      </c>
      <c r="H42" s="212">
        <f>SUM(G42-E42)*100/E42</f>
        <v>-25.246195165622197</v>
      </c>
      <c r="I42" s="284"/>
      <c r="J42" s="214">
        <v>30.93</v>
      </c>
      <c r="K42" s="158">
        <f>SUM(J42-G42)*100/G42</f>
        <v>23.473053892215564</v>
      </c>
    </row>
    <row r="43" spans="1:11" ht="15">
      <c r="A43" s="165"/>
      <c r="B43" s="62" t="s">
        <v>96</v>
      </c>
      <c r="C43" s="149" t="s">
        <v>23</v>
      </c>
      <c r="D43" s="216"/>
      <c r="E43" s="217">
        <v>34.39</v>
      </c>
      <c r="F43" s="216"/>
      <c r="G43" s="217">
        <v>25.69</v>
      </c>
      <c r="H43" s="215">
        <f>SUM(G43-E43)*100/E43</f>
        <v>-25.29805175923233</v>
      </c>
      <c r="I43" s="286"/>
      <c r="J43" s="217">
        <v>45.74</v>
      </c>
      <c r="K43" s="218">
        <f>SUM(J43-G43)*100/G43</f>
        <v>78.045932269365508</v>
      </c>
    </row>
    <row r="44" spans="1:11" ht="14.25">
      <c r="B44" s="150"/>
      <c r="C44" s="151"/>
      <c r="D44" s="152"/>
      <c r="E44" s="152"/>
      <c r="F44" s="152"/>
      <c r="G44" s="152"/>
      <c r="H44" s="152"/>
      <c r="I44" s="151"/>
      <c r="J44" s="151"/>
      <c r="K44" s="153"/>
    </row>
  </sheetData>
  <mergeCells count="9">
    <mergeCell ref="A1:K1"/>
    <mergeCell ref="B2:B5"/>
    <mergeCell ref="C2:C5"/>
    <mergeCell ref="D2:E2"/>
    <mergeCell ref="F2:G2"/>
    <mergeCell ref="I2:J2"/>
    <mergeCell ref="D3:E3"/>
    <mergeCell ref="F3:G3"/>
    <mergeCell ref="I3:J3"/>
  </mergeCells>
  <pageMargins left="0.47" right="0.2" top="0.17" bottom="0.17" header="0" footer="0"/>
  <pageSetup scale="90" orientation="landscape" useFirstPageNumber="1" horizontalDpi="180" verticalDpi="180" r:id="rId1"/>
  <headerFooter alignWithMargins="0">
    <oddHeader>&amp;LTable 1</oddHeader>
    <oddFooter>&amp;RPage &amp;P</oddFooter>
  </headerFooter>
</worksheet>
</file>

<file path=xl/worksheets/sheet2.xml><?xml version="1.0" encoding="utf-8"?>
<worksheet xmlns="http://schemas.openxmlformats.org/spreadsheetml/2006/main" xmlns:r="http://schemas.openxmlformats.org/officeDocument/2006/relationships">
  <sheetPr codeName="Sheet2"/>
  <dimension ref="A1:K49"/>
  <sheetViews>
    <sheetView zoomScale="90" zoomScaleNormal="90" workbookViewId="0">
      <selection activeCell="J6" sqref="J6:J17"/>
    </sheetView>
  </sheetViews>
  <sheetFormatPr defaultColWidth="9.140625" defaultRowHeight="12.75"/>
  <cols>
    <col min="1" max="1" width="2.7109375" style="57" customWidth="1"/>
    <col min="2" max="2" width="5.5703125" style="57" customWidth="1"/>
    <col min="3" max="3" width="36" style="57" customWidth="1"/>
    <col min="4" max="4" width="11.85546875" style="57" customWidth="1"/>
    <col min="5" max="5" width="15.42578125" style="57" customWidth="1"/>
    <col min="6" max="6" width="14.28515625" style="57" bestFit="1" customWidth="1"/>
    <col min="7" max="7" width="13" style="57" customWidth="1"/>
    <col min="8" max="8" width="10.7109375" style="57" customWidth="1"/>
    <col min="9" max="9" width="11.5703125" style="57" bestFit="1" customWidth="1"/>
    <col min="10" max="10" width="13.42578125" style="57" customWidth="1"/>
    <col min="11" max="11" width="10.42578125" style="57" bestFit="1" customWidth="1"/>
    <col min="12" max="16384" width="9.140625" style="57"/>
  </cols>
  <sheetData>
    <row r="1" spans="1:11" ht="27.75" customHeight="1">
      <c r="A1" s="301" t="s">
        <v>67</v>
      </c>
      <c r="B1" s="301"/>
      <c r="C1" s="301"/>
      <c r="D1" s="301"/>
      <c r="E1" s="301"/>
      <c r="F1" s="301"/>
      <c r="G1" s="301"/>
      <c r="H1" s="301"/>
      <c r="I1" s="301"/>
      <c r="J1" s="301"/>
      <c r="K1" s="301"/>
    </row>
    <row r="2" spans="1:11" ht="19.5" customHeight="1">
      <c r="A2" s="165"/>
      <c r="B2" s="76"/>
      <c r="C2" s="310" t="s">
        <v>9</v>
      </c>
      <c r="D2" s="307" t="s">
        <v>1066</v>
      </c>
      <c r="E2" s="309"/>
      <c r="F2" s="307" t="s">
        <v>1067</v>
      </c>
      <c r="G2" s="309"/>
      <c r="H2" s="103" t="s">
        <v>68</v>
      </c>
      <c r="I2" s="307" t="s">
        <v>1083</v>
      </c>
      <c r="J2" s="309"/>
      <c r="K2" s="103" t="s">
        <v>68</v>
      </c>
    </row>
    <row r="3" spans="1:11">
      <c r="A3" s="165"/>
      <c r="B3" s="166"/>
      <c r="C3" s="311"/>
      <c r="D3" s="103" t="s">
        <v>8</v>
      </c>
      <c r="E3" s="103" t="s">
        <v>103</v>
      </c>
      <c r="F3" s="103" t="s">
        <v>8</v>
      </c>
      <c r="G3" s="103" t="s">
        <v>103</v>
      </c>
      <c r="H3" s="103" t="s">
        <v>70</v>
      </c>
      <c r="I3" s="103" t="s">
        <v>8</v>
      </c>
      <c r="J3" s="103" t="s">
        <v>103</v>
      </c>
      <c r="K3" s="103" t="s">
        <v>70</v>
      </c>
    </row>
    <row r="4" spans="1:11">
      <c r="A4" s="165"/>
      <c r="B4" s="167"/>
      <c r="C4" s="312"/>
      <c r="D4" s="104" t="s">
        <v>10</v>
      </c>
      <c r="E4" s="104" t="s">
        <v>105</v>
      </c>
      <c r="F4" s="104" t="s">
        <v>10</v>
      </c>
      <c r="G4" s="104" t="s">
        <v>105</v>
      </c>
      <c r="H4" s="103" t="s">
        <v>69</v>
      </c>
      <c r="I4" s="104" t="s">
        <v>10</v>
      </c>
      <c r="J4" s="104" t="s">
        <v>105</v>
      </c>
      <c r="K4" s="103" t="s">
        <v>69</v>
      </c>
    </row>
    <row r="5" spans="1:11" ht="15">
      <c r="A5" s="165"/>
      <c r="B5" s="62">
        <v>1</v>
      </c>
      <c r="C5" s="63" t="s">
        <v>11</v>
      </c>
      <c r="D5" s="157">
        <v>3509.8</v>
      </c>
      <c r="E5" s="220">
        <v>664.87</v>
      </c>
      <c r="F5" s="157">
        <f>'[1]Summary Sheet'!F8</f>
        <v>5484.46</v>
      </c>
      <c r="G5" s="157">
        <f>'[1]Summary Sheet'!G8</f>
        <v>1884.8899999999999</v>
      </c>
      <c r="H5" s="219">
        <f t="shared" ref="H5:H14" si="0">SUM(G5-E5)*100/E5</f>
        <v>183.49752583211756</v>
      </c>
      <c r="I5" s="157">
        <f>'Summary Sheet'!I8</f>
        <v>18093.87</v>
      </c>
      <c r="J5" s="157">
        <f>'Summary Sheet'!J8</f>
        <v>8050.22</v>
      </c>
      <c r="K5" s="220">
        <f>SUM(J5-G5)*100/G5</f>
        <v>327.09229716322972</v>
      </c>
    </row>
    <row r="6" spans="1:11" ht="15">
      <c r="A6" s="165"/>
      <c r="B6" s="62" t="s">
        <v>48</v>
      </c>
      <c r="C6" s="43" t="s">
        <v>60</v>
      </c>
      <c r="D6" s="271">
        <v>808.16</v>
      </c>
      <c r="E6" s="272">
        <v>258.86</v>
      </c>
      <c r="F6" s="158">
        <f>'[1]Summary Sheet'!F9</f>
        <v>3952.58</v>
      </c>
      <c r="G6" s="158">
        <f>'[1]Summary Sheet'!G9</f>
        <v>1412.55</v>
      </c>
      <c r="H6" s="221">
        <f t="shared" si="0"/>
        <v>445.68106312292355</v>
      </c>
      <c r="I6" s="158">
        <f>'Summary Sheet'!I9</f>
        <v>10445.33</v>
      </c>
      <c r="J6" s="158">
        <f>'Summary Sheet'!J9</f>
        <v>5393.14</v>
      </c>
      <c r="K6" s="207">
        <f>SUM(J6-G6)*100/G6</f>
        <v>281.80170613429613</v>
      </c>
    </row>
    <row r="7" spans="1:11" ht="15">
      <c r="A7" s="165"/>
      <c r="B7" s="62" t="s">
        <v>49</v>
      </c>
      <c r="C7" s="43" t="s">
        <v>13</v>
      </c>
      <c r="D7" s="271">
        <v>217.32</v>
      </c>
      <c r="E7" s="272">
        <v>24.83</v>
      </c>
      <c r="F7" s="158">
        <f>'[1]Summary Sheet'!F10</f>
        <v>294.31</v>
      </c>
      <c r="G7" s="158">
        <f>'[1]Summary Sheet'!G10</f>
        <v>42.72</v>
      </c>
      <c r="H7" s="221">
        <f t="shared" si="0"/>
        <v>72.049939589206616</v>
      </c>
      <c r="I7" s="158">
        <f>'Summary Sheet'!I10</f>
        <v>550.01</v>
      </c>
      <c r="J7" s="158">
        <f>'Summary Sheet'!J10</f>
        <v>131.44</v>
      </c>
      <c r="K7" s="207">
        <f>SUM(J7-G7)*100/G7</f>
        <v>207.67790262172286</v>
      </c>
    </row>
    <row r="8" spans="1:11" ht="15">
      <c r="A8" s="165"/>
      <c r="B8" s="62" t="s">
        <v>50</v>
      </c>
      <c r="C8" s="43" t="s">
        <v>15</v>
      </c>
      <c r="D8" s="271">
        <v>2.75</v>
      </c>
      <c r="E8" s="272">
        <v>0.22</v>
      </c>
      <c r="F8" s="158">
        <f>'[1]Summary Sheet'!F11</f>
        <v>33.85</v>
      </c>
      <c r="G8" s="158">
        <f>'[1]Summary Sheet'!G11</f>
        <v>9.2200000000000006</v>
      </c>
      <c r="H8" s="221">
        <f t="shared" si="0"/>
        <v>4090.909090909091</v>
      </c>
      <c r="I8" s="158">
        <f>'Summary Sheet'!I11</f>
        <v>100.26</v>
      </c>
      <c r="J8" s="158">
        <f>'Summary Sheet'!J11</f>
        <v>31.29</v>
      </c>
      <c r="K8" s="207">
        <f>SUM(J8-G8)*100/G8</f>
        <v>239.37093275488067</v>
      </c>
    </row>
    <row r="9" spans="1:11" ht="15">
      <c r="A9" s="165"/>
      <c r="B9" s="62" t="s">
        <v>51</v>
      </c>
      <c r="C9" s="43" t="s">
        <v>14</v>
      </c>
      <c r="D9" s="271">
        <v>0.24</v>
      </c>
      <c r="E9" s="272">
        <v>1.1299999999999999</v>
      </c>
      <c r="F9" s="158">
        <f>'[1]Summary Sheet'!F12</f>
        <v>0.33</v>
      </c>
      <c r="G9" s="158">
        <f>'[1]Summary Sheet'!G12</f>
        <v>0.75</v>
      </c>
      <c r="H9" s="221">
        <f t="shared" si="0"/>
        <v>-33.62831858407079</v>
      </c>
      <c r="I9" s="158">
        <f>'Summary Sheet'!I12</f>
        <v>2.2400000000000002</v>
      </c>
      <c r="J9" s="158">
        <f>'Summary Sheet'!J12</f>
        <v>4.1900000000000004</v>
      </c>
      <c r="K9" s="228">
        <v>0</v>
      </c>
    </row>
    <row r="10" spans="1:11" ht="15">
      <c r="A10" s="165"/>
      <c r="B10" s="62" t="s">
        <v>52</v>
      </c>
      <c r="C10" s="43" t="s">
        <v>16</v>
      </c>
      <c r="D10" s="271">
        <v>20.25</v>
      </c>
      <c r="E10" s="272">
        <v>8.6999999999999993</v>
      </c>
      <c r="F10" s="158">
        <f>'[1]Summary Sheet'!F13</f>
        <v>90.9</v>
      </c>
      <c r="G10" s="158">
        <f>'[1]Summary Sheet'!G13</f>
        <v>60.07</v>
      </c>
      <c r="H10" s="221">
        <f t="shared" si="0"/>
        <v>590.45977011494256</v>
      </c>
      <c r="I10" s="158">
        <f>'Summary Sheet'!I13</f>
        <v>244.39</v>
      </c>
      <c r="J10" s="158">
        <f>'Summary Sheet'!J13</f>
        <v>164</v>
      </c>
      <c r="K10" s="207">
        <f t="shared" ref="K10:K17" si="1">SUM(J10-G10)*100/G10</f>
        <v>173.01481604794407</v>
      </c>
    </row>
    <row r="11" spans="1:11" ht="15">
      <c r="A11" s="165"/>
      <c r="B11" s="62" t="s">
        <v>53</v>
      </c>
      <c r="C11" s="43" t="s">
        <v>75</v>
      </c>
      <c r="D11" s="271">
        <v>1342.35</v>
      </c>
      <c r="E11" s="272">
        <v>200.8</v>
      </c>
      <c r="F11" s="158">
        <f>'[1]Summary Sheet'!F14</f>
        <v>199.67</v>
      </c>
      <c r="G11" s="158">
        <f>'[1]Summary Sheet'!G14</f>
        <v>173.8</v>
      </c>
      <c r="H11" s="221">
        <f t="shared" si="0"/>
        <v>-13.446215139442231</v>
      </c>
      <c r="I11" s="158">
        <f>'Summary Sheet'!I14</f>
        <v>760.25</v>
      </c>
      <c r="J11" s="158">
        <f>'Summary Sheet'!J14</f>
        <v>547.04999999999995</v>
      </c>
      <c r="K11" s="207">
        <f t="shared" si="1"/>
        <v>214.75834292289983</v>
      </c>
    </row>
    <row r="12" spans="1:11" ht="15">
      <c r="A12" s="165"/>
      <c r="B12" s="62" t="s">
        <v>54</v>
      </c>
      <c r="C12" s="43" t="s">
        <v>5</v>
      </c>
      <c r="D12" s="271">
        <v>0.56999999999999995</v>
      </c>
      <c r="E12" s="272">
        <v>1.5</v>
      </c>
      <c r="F12" s="158">
        <f>'[1]Summary Sheet'!F15</f>
        <v>0</v>
      </c>
      <c r="G12" s="158">
        <f>'[1]Summary Sheet'!G15</f>
        <v>0</v>
      </c>
      <c r="H12" s="221">
        <f t="shared" si="0"/>
        <v>-100</v>
      </c>
      <c r="I12" s="158">
        <f>'Summary Sheet'!I15</f>
        <v>1.03</v>
      </c>
      <c r="J12" s="158">
        <f>'Summary Sheet'!J15</f>
        <v>1.8</v>
      </c>
      <c r="K12" s="207">
        <v>0</v>
      </c>
    </row>
    <row r="13" spans="1:11" ht="15">
      <c r="A13" s="165"/>
      <c r="B13" s="62" t="s">
        <v>55</v>
      </c>
      <c r="C13" s="43" t="s">
        <v>12</v>
      </c>
      <c r="D13" s="271">
        <v>105.84</v>
      </c>
      <c r="E13" s="272">
        <v>18.91</v>
      </c>
      <c r="F13" s="158">
        <f>'[1]Summary Sheet'!F16</f>
        <v>185.4</v>
      </c>
      <c r="G13" s="158">
        <f>'[1]Summary Sheet'!G16</f>
        <v>78.73</v>
      </c>
      <c r="H13" s="221">
        <f t="shared" si="0"/>
        <v>316.34056054997359</v>
      </c>
      <c r="I13" s="158">
        <f>'Summary Sheet'!I16</f>
        <v>852.77</v>
      </c>
      <c r="J13" s="158">
        <f>'Summary Sheet'!J16</f>
        <v>830.77</v>
      </c>
      <c r="K13" s="207">
        <f t="shared" si="1"/>
        <v>955.21402260891648</v>
      </c>
    </row>
    <row r="14" spans="1:11" ht="15">
      <c r="A14" s="165"/>
      <c r="B14" s="62" t="s">
        <v>1</v>
      </c>
      <c r="C14" s="43" t="s">
        <v>59</v>
      </c>
      <c r="D14" s="271">
        <v>408.17</v>
      </c>
      <c r="E14" s="272">
        <v>48.99</v>
      </c>
      <c r="F14" s="158">
        <f>'[1]Summary Sheet'!F17</f>
        <v>549.07000000000005</v>
      </c>
      <c r="G14" s="158">
        <f>'[1]Summary Sheet'!G17</f>
        <v>74.88</v>
      </c>
      <c r="H14" s="221">
        <f t="shared" si="0"/>
        <v>52.847519902020807</v>
      </c>
      <c r="I14" s="158">
        <f>'Summary Sheet'!I17</f>
        <v>2240.58</v>
      </c>
      <c r="J14" s="158">
        <f>'Summary Sheet'!J17</f>
        <v>573.12</v>
      </c>
      <c r="K14" s="207">
        <f t="shared" si="1"/>
        <v>665.38461538461547</v>
      </c>
    </row>
    <row r="15" spans="1:11" ht="15">
      <c r="A15" s="165"/>
      <c r="B15" s="62" t="s">
        <v>97</v>
      </c>
      <c r="C15" s="43" t="s">
        <v>99</v>
      </c>
      <c r="D15" s="271">
        <v>0</v>
      </c>
      <c r="E15" s="272">
        <v>0</v>
      </c>
      <c r="F15" s="158">
        <f>'[1]Summary Sheet'!F18</f>
        <v>1.1000000000000001</v>
      </c>
      <c r="G15" s="158">
        <f>'[1]Summary Sheet'!G18</f>
        <v>0.03</v>
      </c>
      <c r="H15" s="221">
        <v>0</v>
      </c>
      <c r="I15" s="158">
        <f>'Summary Sheet'!I18</f>
        <v>2403.38</v>
      </c>
      <c r="J15" s="158">
        <f>'Summary Sheet'!J18</f>
        <v>30.5</v>
      </c>
      <c r="K15" s="207">
        <f t="shared" si="1"/>
        <v>101566.66666666667</v>
      </c>
    </row>
    <row r="16" spans="1:11" ht="15">
      <c r="A16" s="165"/>
      <c r="B16" s="62" t="s">
        <v>98</v>
      </c>
      <c r="C16" s="43" t="s">
        <v>95</v>
      </c>
      <c r="D16" s="271">
        <v>0.05</v>
      </c>
      <c r="E16" s="272">
        <v>0.04</v>
      </c>
      <c r="F16" s="158">
        <f>'[1]Summary Sheet'!F19</f>
        <v>0.54</v>
      </c>
      <c r="G16" s="158">
        <f>'[1]Summary Sheet'!G19</f>
        <v>0.38</v>
      </c>
      <c r="H16" s="221">
        <v>0</v>
      </c>
      <c r="I16" s="158">
        <f>'Summary Sheet'!I19</f>
        <v>0.01</v>
      </c>
      <c r="J16" s="158">
        <f>'Summary Sheet'!J19</f>
        <v>0.01</v>
      </c>
      <c r="K16" s="207">
        <f t="shared" si="1"/>
        <v>-97.368421052631575</v>
      </c>
    </row>
    <row r="17" spans="1:11" ht="15">
      <c r="A17" s="165"/>
      <c r="B17" s="62"/>
      <c r="C17" s="43" t="s">
        <v>102</v>
      </c>
      <c r="D17" s="271">
        <v>604.1</v>
      </c>
      <c r="E17" s="272">
        <v>100.89</v>
      </c>
      <c r="F17" s="158">
        <f>'[1]Summary Sheet'!F20</f>
        <v>176.71</v>
      </c>
      <c r="G17" s="158">
        <f>'[1]Summary Sheet'!G20</f>
        <v>31.76</v>
      </c>
      <c r="H17" s="221">
        <f>SUM(G17-E17)*100/E17</f>
        <v>-68.520170482703932</v>
      </c>
      <c r="I17" s="158">
        <f>'Summary Sheet'!I20</f>
        <v>493.64</v>
      </c>
      <c r="J17" s="158">
        <f>'Summary Sheet'!J20</f>
        <v>342.92</v>
      </c>
      <c r="K17" s="207">
        <f t="shared" si="1"/>
        <v>979.7229219143577</v>
      </c>
    </row>
    <row r="18" spans="1:11" ht="15">
      <c r="A18" s="165"/>
      <c r="B18" s="62"/>
      <c r="C18" s="80" t="s">
        <v>78</v>
      </c>
      <c r="D18" s="208"/>
      <c r="E18" s="205"/>
      <c r="F18" s="158"/>
      <c r="G18" s="158"/>
      <c r="H18" s="221"/>
      <c r="I18" s="158"/>
      <c r="J18" s="158"/>
      <c r="K18" s="207"/>
    </row>
    <row r="19" spans="1:11" ht="15">
      <c r="A19" s="165"/>
      <c r="B19" s="62"/>
      <c r="C19" s="80" t="s">
        <v>77</v>
      </c>
      <c r="D19" s="208"/>
      <c r="E19" s="205"/>
      <c r="F19" s="158"/>
      <c r="G19" s="158"/>
      <c r="H19" s="221"/>
      <c r="I19" s="158"/>
      <c r="J19" s="158"/>
      <c r="K19" s="207"/>
    </row>
    <row r="20" spans="1:11" ht="15">
      <c r="A20" s="165"/>
      <c r="B20" s="62">
        <v>2</v>
      </c>
      <c r="C20" s="63" t="s">
        <v>17</v>
      </c>
      <c r="D20" s="222">
        <v>19</v>
      </c>
      <c r="E20" s="205"/>
      <c r="F20" s="159">
        <f>'[1]Summary Sheet'!F23</f>
        <v>19</v>
      </c>
      <c r="G20" s="158"/>
      <c r="H20" s="221"/>
      <c r="I20" s="159">
        <f>'Summary Sheet'!I23</f>
        <v>19</v>
      </c>
      <c r="J20" s="158"/>
      <c r="K20" s="207"/>
    </row>
    <row r="21" spans="1:11" ht="15">
      <c r="A21" s="165"/>
      <c r="B21" s="62">
        <v>3</v>
      </c>
      <c r="C21" s="63" t="s">
        <v>18</v>
      </c>
      <c r="D21" s="158">
        <v>184.72631578947369</v>
      </c>
      <c r="E21" s="207">
        <v>34.993157894736839</v>
      </c>
      <c r="F21" s="158">
        <f>'[1]Summary Sheet'!F24</f>
        <v>288.65578947368419</v>
      </c>
      <c r="G21" s="158">
        <f>'[1]Summary Sheet'!G24</f>
        <v>99.204736842105262</v>
      </c>
      <c r="H21" s="221"/>
      <c r="I21" s="158">
        <f>'Summary Sheet'!I24</f>
        <v>952.30894736842095</v>
      </c>
      <c r="J21" s="158">
        <f>'Summary Sheet'!J24</f>
        <v>423.69578947368421</v>
      </c>
      <c r="K21" s="207"/>
    </row>
    <row r="22" spans="1:11" ht="15">
      <c r="A22" s="165"/>
      <c r="B22" s="62">
        <v>4</v>
      </c>
      <c r="C22" s="63" t="s">
        <v>19</v>
      </c>
      <c r="D22" s="222">
        <v>28691</v>
      </c>
      <c r="E22" s="273"/>
      <c r="F22" s="159">
        <f>'[1]Summary Sheet'!F25</f>
        <v>24683</v>
      </c>
      <c r="G22" s="158"/>
      <c r="H22" s="221">
        <f>SUM(F22-D22)*100/D22</f>
        <v>-13.96953748562267</v>
      </c>
      <c r="I22" s="159">
        <f>'Summary Sheet'!I25</f>
        <v>51614</v>
      </c>
      <c r="J22" s="158"/>
      <c r="K22" s="207">
        <f>SUM(I22-F22)*100/F22</f>
        <v>109.10748288295588</v>
      </c>
    </row>
    <row r="23" spans="1:11" ht="15">
      <c r="A23" s="165"/>
      <c r="B23" s="62">
        <v>5</v>
      </c>
      <c r="C23" s="63" t="s">
        <v>136</v>
      </c>
      <c r="D23" s="222">
        <v>147</v>
      </c>
      <c r="E23" s="273"/>
      <c r="F23" s="159">
        <f>'[1]Summary Sheet'!F26</f>
        <v>144</v>
      </c>
      <c r="G23" s="158"/>
      <c r="H23" s="221"/>
      <c r="I23" s="159">
        <f>'Summary Sheet'!I26</f>
        <v>161</v>
      </c>
      <c r="J23" s="158"/>
      <c r="K23" s="207">
        <f>SUM(I23-F23)*100/F23</f>
        <v>11.805555555555555</v>
      </c>
    </row>
    <row r="24" spans="1:11" ht="15">
      <c r="A24" s="165"/>
      <c r="B24" s="62">
        <v>6</v>
      </c>
      <c r="C24" s="63" t="s">
        <v>20</v>
      </c>
      <c r="D24" s="159">
        <v>214</v>
      </c>
      <c r="E24" s="273"/>
      <c r="F24" s="159">
        <f>'[1]Summary Sheet'!F27</f>
        <v>221</v>
      </c>
      <c r="G24" s="158"/>
      <c r="H24" s="221"/>
      <c r="I24" s="159">
        <f>'Summary Sheet'!I27</f>
        <v>234</v>
      </c>
      <c r="J24" s="158"/>
      <c r="K24" s="207">
        <f>SUM(I24-F24)*100/F24</f>
        <v>5.882352941176471</v>
      </c>
    </row>
    <row r="25" spans="1:11" ht="15">
      <c r="A25" s="165"/>
      <c r="B25" s="62">
        <v>7</v>
      </c>
      <c r="C25" s="63" t="s">
        <v>126</v>
      </c>
      <c r="D25" s="159"/>
      <c r="E25" s="209">
        <v>106449</v>
      </c>
      <c r="F25" s="158"/>
      <c r="G25" s="159">
        <f>'[1]Summary Sheet'!G28</f>
        <v>113971</v>
      </c>
      <c r="H25" s="221">
        <f>SUM(G25-E25)*100/E25</f>
        <v>7.0662946575355337</v>
      </c>
      <c r="I25" s="158"/>
      <c r="J25" s="159">
        <f>'Summary Sheet'!J28</f>
        <v>136817</v>
      </c>
      <c r="K25" s="207">
        <f>SUM(J25-G25)*100/G25</f>
        <v>20.045450158373622</v>
      </c>
    </row>
    <row r="26" spans="1:11" ht="15">
      <c r="A26" s="165"/>
      <c r="B26" s="62">
        <v>8</v>
      </c>
      <c r="C26" s="63" t="s">
        <v>57</v>
      </c>
      <c r="D26" s="159">
        <v>1098471</v>
      </c>
      <c r="E26" s="273"/>
      <c r="F26" s="159">
        <f>'[1]Summary Sheet'!F29</f>
        <v>1178912</v>
      </c>
      <c r="G26" s="158"/>
      <c r="H26" s="221">
        <f>SUM(F26-D26)*100/D26</f>
        <v>7.3229971478536982</v>
      </c>
      <c r="I26" s="159">
        <f>'Summary Sheet'!I29</f>
        <v>1418105</v>
      </c>
      <c r="J26" s="158"/>
      <c r="K26" s="207">
        <f>SUM(I26-F26)*100/F26</f>
        <v>20.289300643305012</v>
      </c>
    </row>
    <row r="27" spans="1:11" ht="15">
      <c r="A27" s="165"/>
      <c r="B27" s="62">
        <v>9</v>
      </c>
      <c r="C27" s="63" t="s">
        <v>56</v>
      </c>
      <c r="D27" s="159"/>
      <c r="E27" s="207">
        <v>300428.78999999998</v>
      </c>
      <c r="F27" s="158"/>
      <c r="G27" s="158">
        <f>'[1]Summary Sheet'!G30</f>
        <v>471521.04</v>
      </c>
      <c r="H27" s="221">
        <f>SUM(G27-E27)*100/E27</f>
        <v>56.949352290770804</v>
      </c>
      <c r="I27" s="158"/>
      <c r="J27" s="158">
        <f>'Summary Sheet'!J30</f>
        <v>799760.34</v>
      </c>
      <c r="K27" s="207">
        <f>SUM(J27-G27)*100/G27</f>
        <v>69.612863934979444</v>
      </c>
    </row>
    <row r="28" spans="1:11" ht="15">
      <c r="A28" s="165"/>
      <c r="B28" s="62">
        <v>10</v>
      </c>
      <c r="C28" s="63" t="s">
        <v>58</v>
      </c>
      <c r="D28" s="224"/>
      <c r="E28" s="273"/>
      <c r="F28" s="158"/>
      <c r="G28" s="158"/>
      <c r="H28" s="221"/>
      <c r="I28" s="158"/>
      <c r="J28" s="158"/>
      <c r="K28" s="207"/>
    </row>
    <row r="29" spans="1:11" ht="15">
      <c r="A29" s="165"/>
      <c r="B29" s="62" t="s">
        <v>96</v>
      </c>
      <c r="C29" s="43" t="s">
        <v>21</v>
      </c>
      <c r="D29" s="224"/>
      <c r="E29" s="205">
        <v>324.41000000000003</v>
      </c>
      <c r="F29" s="158"/>
      <c r="G29" s="158">
        <f>'[1]Summary Sheet'!G32</f>
        <v>501.52</v>
      </c>
      <c r="H29" s="221">
        <f>SUM(G29-E29)*100/E29</f>
        <v>54.594494621004266</v>
      </c>
      <c r="I29" s="158"/>
      <c r="J29" s="158">
        <f>'Summary Sheet'!J32</f>
        <v>806.66</v>
      </c>
      <c r="K29" s="207">
        <f>SUM(J29-G29)*100/G29</f>
        <v>60.843037167012284</v>
      </c>
    </row>
    <row r="30" spans="1:11" ht="15">
      <c r="A30" s="165"/>
      <c r="B30" s="62" t="s">
        <v>96</v>
      </c>
      <c r="C30" s="43" t="s">
        <v>22</v>
      </c>
      <c r="D30" s="224"/>
      <c r="E30" s="205">
        <v>312.5</v>
      </c>
      <c r="F30" s="158"/>
      <c r="G30" s="158">
        <f>'[1]Summary Sheet'!G33</f>
        <v>481.94</v>
      </c>
      <c r="H30" s="221">
        <f>SUM(G30-E30)*100/E30</f>
        <v>54.220799999999997</v>
      </c>
      <c r="I30" s="158"/>
      <c r="J30" s="158">
        <f>'Summary Sheet'!J33</f>
        <v>754.09</v>
      </c>
      <c r="K30" s="207">
        <f>SUM(J30-G30)*100/G30</f>
        <v>56.469685023031921</v>
      </c>
    </row>
    <row r="31" spans="1:11" ht="15">
      <c r="A31" s="165"/>
      <c r="B31" s="62" t="s">
        <v>96</v>
      </c>
      <c r="C31" s="43" t="s">
        <v>23</v>
      </c>
      <c r="D31" s="224"/>
      <c r="E31" s="205">
        <v>323.62</v>
      </c>
      <c r="F31" s="158"/>
      <c r="G31" s="158">
        <f>'[1]Summary Sheet'!G34</f>
        <v>497.24</v>
      </c>
      <c r="H31" s="221">
        <f>SUM(G31-E31)*100/E31</f>
        <v>53.649341820653852</v>
      </c>
      <c r="I31" s="158"/>
      <c r="J31" s="158">
        <f>'Summary Sheet'!J34</f>
        <v>787.05</v>
      </c>
      <c r="K31" s="207">
        <f>SUM(J31-G31)*100/G31</f>
        <v>58.283726168449824</v>
      </c>
    </row>
    <row r="32" spans="1:11" ht="15">
      <c r="A32" s="165"/>
      <c r="B32" s="62">
        <v>11</v>
      </c>
      <c r="C32" s="63" t="s">
        <v>113</v>
      </c>
      <c r="D32" s="224"/>
      <c r="E32" s="207">
        <v>260732.4</v>
      </c>
      <c r="F32" s="158"/>
      <c r="G32" s="158">
        <f>'[1]Summary Sheet'!G35</f>
        <v>412442.43</v>
      </c>
      <c r="H32" s="221">
        <f>SUM(G32-E32)*100/E32</f>
        <v>58.186105754405666</v>
      </c>
      <c r="I32" s="158"/>
      <c r="J32" s="158">
        <f>'Summary Sheet'!J35</f>
        <v>647127.66</v>
      </c>
      <c r="K32" s="207">
        <f>SUM(J32-G32)*100/G32</f>
        <v>56.901330447500285</v>
      </c>
    </row>
    <row r="33" spans="1:11" ht="15">
      <c r="A33" s="165"/>
      <c r="B33" s="62">
        <v>12</v>
      </c>
      <c r="C33" s="63" t="s">
        <v>71</v>
      </c>
      <c r="D33" s="224"/>
      <c r="E33" s="205"/>
      <c r="F33" s="158"/>
      <c r="G33" s="158"/>
      <c r="H33" s="221"/>
      <c r="I33" s="158"/>
      <c r="J33" s="158"/>
      <c r="K33" s="207"/>
    </row>
    <row r="34" spans="1:11" ht="15">
      <c r="A34" s="165"/>
      <c r="B34" s="62" t="s">
        <v>96</v>
      </c>
      <c r="C34" s="43" t="s">
        <v>21</v>
      </c>
      <c r="D34" s="224"/>
      <c r="E34" s="205">
        <v>80.48</v>
      </c>
      <c r="F34" s="158"/>
      <c r="G34" s="158">
        <f>'[1]Summary Sheet'!G37</f>
        <v>127.25</v>
      </c>
      <c r="H34" s="221">
        <f>SUM(G34-E34)*100/E34</f>
        <v>58.113817097415506</v>
      </c>
      <c r="I34" s="158"/>
      <c r="J34" s="158">
        <f>'Summary Sheet'!J37</f>
        <v>201.62</v>
      </c>
      <c r="K34" s="207">
        <f>SUM(J34-G34)*100/G34</f>
        <v>58.444007858546172</v>
      </c>
    </row>
    <row r="35" spans="1:11" ht="15">
      <c r="A35" s="165"/>
      <c r="B35" s="62" t="s">
        <v>96</v>
      </c>
      <c r="C35" s="43" t="s">
        <v>22</v>
      </c>
      <c r="D35" s="224"/>
      <c r="E35" s="205">
        <v>77.400000000000006</v>
      </c>
      <c r="F35" s="158"/>
      <c r="G35" s="158">
        <f>'[1]Summary Sheet'!G38</f>
        <v>122.82</v>
      </c>
      <c r="H35" s="221">
        <f>SUM(G35-E35)*100/E35</f>
        <v>58.682170542635646</v>
      </c>
      <c r="I35" s="158"/>
      <c r="J35" s="158">
        <f>'Summary Sheet'!J38</f>
        <v>186.42</v>
      </c>
      <c r="K35" s="207">
        <f>SUM(J35-G35)*100/G35</f>
        <v>51.783097215437223</v>
      </c>
    </row>
    <row r="36" spans="1:11" ht="15">
      <c r="A36" s="165"/>
      <c r="B36" s="62" t="s">
        <v>96</v>
      </c>
      <c r="C36" s="43" t="s">
        <v>23</v>
      </c>
      <c r="D36" s="224"/>
      <c r="E36" s="205">
        <v>80.290000000000006</v>
      </c>
      <c r="F36" s="158"/>
      <c r="G36" s="158">
        <f>'[1]Summary Sheet'!G39</f>
        <v>126.51</v>
      </c>
      <c r="H36" s="221">
        <f>SUM(G36-E36)*100/E36</f>
        <v>57.566322082451109</v>
      </c>
      <c r="I36" s="158"/>
      <c r="J36" s="158">
        <f>'Summary Sheet'!J39</f>
        <v>193.38</v>
      </c>
      <c r="K36" s="207">
        <f>SUM(J36-G36)*100/G36</f>
        <v>52.857481622006155</v>
      </c>
    </row>
    <row r="37" spans="1:11" ht="15">
      <c r="A37" s="165"/>
      <c r="B37" s="62">
        <v>13</v>
      </c>
      <c r="C37" s="63" t="s">
        <v>129</v>
      </c>
      <c r="D37" s="224"/>
      <c r="E37" s="273"/>
      <c r="F37" s="158"/>
      <c r="G37" s="158"/>
      <c r="H37" s="221"/>
      <c r="I37" s="158"/>
      <c r="J37" s="158"/>
      <c r="K37" s="207"/>
    </row>
    <row r="38" spans="1:11" ht="15">
      <c r="A38" s="165"/>
      <c r="B38" s="62" t="s">
        <v>96</v>
      </c>
      <c r="C38" s="43" t="s">
        <v>21</v>
      </c>
      <c r="D38" s="274"/>
      <c r="E38" s="275">
        <v>25.87</v>
      </c>
      <c r="F38" s="158"/>
      <c r="G38" s="158">
        <f>'[1]Summary Sheet'!G41</f>
        <v>35.49</v>
      </c>
      <c r="H38" s="221">
        <f>SUM(G38-E38)*100/E38</f>
        <v>37.185929648241206</v>
      </c>
      <c r="I38" s="158"/>
      <c r="J38" s="158">
        <f>'Summary Sheet'!J41</f>
        <v>47.28</v>
      </c>
      <c r="K38" s="207">
        <f>SUM(J38-G38)*100/G38</f>
        <v>33.220625528317832</v>
      </c>
    </row>
    <row r="39" spans="1:11" ht="15">
      <c r="A39" s="165"/>
      <c r="B39" s="62" t="s">
        <v>96</v>
      </c>
      <c r="C39" s="43" t="s">
        <v>22</v>
      </c>
      <c r="D39" s="274"/>
      <c r="E39" s="275">
        <v>24.89</v>
      </c>
      <c r="F39" s="158"/>
      <c r="G39" s="158">
        <f>'[1]Summary Sheet'!G42</f>
        <v>34.28</v>
      </c>
      <c r="H39" s="221">
        <f>SUM(G39-E39)*100/E39</f>
        <v>37.725994375251105</v>
      </c>
      <c r="I39" s="158"/>
      <c r="J39" s="158">
        <f>'Summary Sheet'!J42</f>
        <v>44.17</v>
      </c>
      <c r="K39" s="207">
        <f>SUM(J39-G39)*100/G39</f>
        <v>28.850641773628936</v>
      </c>
    </row>
    <row r="40" spans="1:11" ht="15">
      <c r="A40" s="165"/>
      <c r="B40" s="62" t="s">
        <v>96</v>
      </c>
      <c r="C40" s="43" t="s">
        <v>23</v>
      </c>
      <c r="D40" s="274"/>
      <c r="E40" s="275">
        <v>25.69</v>
      </c>
      <c r="F40" s="158"/>
      <c r="G40" s="158">
        <f>'[1]Summary Sheet'!G43</f>
        <v>34.979999999999997</v>
      </c>
      <c r="H40" s="221">
        <f>SUM(G40-E40)*100/E40</f>
        <v>36.161930712339412</v>
      </c>
      <c r="I40" s="158"/>
      <c r="J40" s="158">
        <f>'Summary Sheet'!J43</f>
        <v>45.74</v>
      </c>
      <c r="K40" s="207">
        <f>SUM(J40-G40)*100/G40</f>
        <v>30.760434534019456</v>
      </c>
    </row>
    <row r="41" spans="1:11" ht="15">
      <c r="A41" s="165"/>
      <c r="B41" s="168">
        <v>14</v>
      </c>
      <c r="C41" s="169" t="s">
        <v>130</v>
      </c>
      <c r="D41" s="295"/>
      <c r="E41" s="295"/>
      <c r="F41" s="170"/>
      <c r="G41" s="170"/>
      <c r="H41" s="170"/>
      <c r="I41" s="170"/>
      <c r="J41" s="170"/>
      <c r="K41" s="170"/>
    </row>
    <row r="42" spans="1:11" ht="15">
      <c r="A42" s="165"/>
      <c r="B42" s="168" t="s">
        <v>79</v>
      </c>
      <c r="C42" s="171" t="s">
        <v>77</v>
      </c>
      <c r="D42" s="296">
        <v>349409</v>
      </c>
      <c r="E42" s="296">
        <v>34940.9</v>
      </c>
      <c r="F42" s="170">
        <v>449409</v>
      </c>
      <c r="G42" s="170">
        <v>44940.9</v>
      </c>
      <c r="H42" s="170">
        <f>SUM(F42-D42)*100/D42</f>
        <v>28.619755072136094</v>
      </c>
      <c r="I42" s="170">
        <v>434409</v>
      </c>
      <c r="J42" s="170">
        <v>43440.9</v>
      </c>
      <c r="K42" s="170">
        <f>SUM(J42-G42)*100/G42</f>
        <v>-3.3377168681535081</v>
      </c>
    </row>
    <row r="43" spans="1:11" ht="15">
      <c r="A43" s="165"/>
      <c r="B43" s="168" t="s">
        <v>80</v>
      </c>
      <c r="C43" s="171" t="s">
        <v>78</v>
      </c>
      <c r="D43" s="296">
        <v>5735</v>
      </c>
      <c r="E43" s="296">
        <v>5735</v>
      </c>
      <c r="F43" s="170">
        <v>6135</v>
      </c>
      <c r="G43" s="170">
        <v>6135</v>
      </c>
      <c r="H43" s="170">
        <f>SUM(G43-D43)*100/D43</f>
        <v>6.9747166521360073</v>
      </c>
      <c r="I43" s="170">
        <v>6597.37</v>
      </c>
      <c r="J43" s="170">
        <f>I43</f>
        <v>6597.37</v>
      </c>
      <c r="K43" s="170">
        <f>SUM(J43-G43)*100/G43</f>
        <v>7.5365933170334127</v>
      </c>
    </row>
    <row r="44" spans="1:11" ht="14.25" customHeight="1">
      <c r="B44" s="78"/>
      <c r="C44" s="79"/>
      <c r="D44" s="79"/>
      <c r="E44" s="140"/>
      <c r="F44" s="79"/>
      <c r="G44" s="79"/>
      <c r="H44" s="79"/>
      <c r="I44" s="120"/>
      <c r="J44" s="120"/>
      <c r="K44" s="121"/>
    </row>
    <row r="45" spans="1:11" ht="14.25" customHeight="1"/>
    <row r="49" spans="9:10">
      <c r="I49" s="122"/>
      <c r="J49" s="122"/>
    </row>
  </sheetData>
  <mergeCells count="5">
    <mergeCell ref="A1:K1"/>
    <mergeCell ref="D2:E2"/>
    <mergeCell ref="F2:G2"/>
    <mergeCell ref="I2:J2"/>
    <mergeCell ref="C2:C4"/>
  </mergeCells>
  <phoneticPr fontId="0" type="noConversion"/>
  <pageMargins left="0.66" right="0.62" top="0.38" bottom="0.17" header="0" footer="0"/>
  <pageSetup scale="75" firstPageNumber="2" orientation="landscape" useFirstPageNumber="1" horizontalDpi="180" verticalDpi="180" r:id="rId1"/>
  <headerFooter alignWithMargins="0">
    <oddHeader>&amp;LTable 1.1</oddHeader>
    <oddFooter>&amp;RPage &amp;P</oddFooter>
  </headerFooter>
</worksheet>
</file>

<file path=xl/worksheets/sheet3.xml><?xml version="1.0" encoding="utf-8"?>
<worksheet xmlns="http://schemas.openxmlformats.org/spreadsheetml/2006/main" xmlns:r="http://schemas.openxmlformats.org/officeDocument/2006/relationships">
  <dimension ref="A1:O121"/>
  <sheetViews>
    <sheetView showGridLines="0" topLeftCell="A68" zoomScale="80" zoomScaleNormal="80" workbookViewId="0">
      <selection activeCell="C106" sqref="C106"/>
    </sheetView>
  </sheetViews>
  <sheetFormatPr defaultRowHeight="12.75"/>
  <cols>
    <col min="1" max="1" width="2.28515625" customWidth="1"/>
    <col min="2" max="2" width="6" customWidth="1"/>
    <col min="3" max="3" width="43.85546875" customWidth="1"/>
    <col min="4" max="4" width="18.85546875" customWidth="1"/>
    <col min="5" max="5" width="24.28515625" bestFit="1" customWidth="1"/>
    <col min="6" max="6" width="21.42578125" bestFit="1" customWidth="1"/>
    <col min="7" max="7" width="13.42578125" bestFit="1" customWidth="1"/>
    <col min="8" max="8" width="10.28515625" bestFit="1" customWidth="1"/>
    <col min="9" max="9" width="11.5703125" bestFit="1" customWidth="1"/>
    <col min="10" max="10" width="11.42578125" bestFit="1" customWidth="1"/>
    <col min="11" max="11" width="8.42578125" bestFit="1" customWidth="1"/>
    <col min="12" max="12" width="7.140625" customWidth="1"/>
    <col min="13" max="13" width="10.42578125" customWidth="1"/>
    <col min="14" max="14" width="10" customWidth="1"/>
    <col min="15" max="15" width="13.7109375" bestFit="1" customWidth="1"/>
  </cols>
  <sheetData>
    <row r="1" spans="1:15" ht="33.75" customHeight="1">
      <c r="A1" s="321" t="s">
        <v>118</v>
      </c>
      <c r="B1" s="321"/>
      <c r="C1" s="321"/>
      <c r="D1" s="321"/>
      <c r="E1" s="321"/>
      <c r="F1" s="321"/>
      <c r="G1" s="321"/>
      <c r="H1" s="321"/>
      <c r="I1" s="321"/>
      <c r="J1" s="321"/>
      <c r="K1" s="321"/>
    </row>
    <row r="2" spans="1:15" ht="15.75">
      <c r="A2" s="322" t="s">
        <v>1056</v>
      </c>
      <c r="B2" s="322"/>
      <c r="C2" s="322"/>
      <c r="D2" s="322"/>
      <c r="E2" s="322"/>
      <c r="F2" s="322"/>
      <c r="G2" s="322"/>
      <c r="H2" s="322"/>
      <c r="I2" s="322"/>
      <c r="J2" s="322"/>
      <c r="K2" s="322"/>
    </row>
    <row r="3" spans="1:15" ht="21" customHeight="1">
      <c r="A3" s="322" t="s">
        <v>1055</v>
      </c>
      <c r="B3" s="322"/>
      <c r="C3" s="322"/>
      <c r="D3" s="322"/>
      <c r="E3" s="322"/>
      <c r="F3" s="322"/>
      <c r="G3" s="322"/>
      <c r="H3" s="322"/>
      <c r="I3" s="322"/>
      <c r="J3" s="322"/>
      <c r="K3" s="322"/>
    </row>
    <row r="4" spans="1:15" ht="9.75" customHeight="1">
      <c r="A4" s="323"/>
      <c r="B4" s="323"/>
      <c r="C4" s="323"/>
      <c r="D4" s="323"/>
      <c r="E4" s="323"/>
      <c r="F4" s="323"/>
      <c r="G4" s="323"/>
      <c r="H4" s="323"/>
      <c r="I4" s="323"/>
      <c r="J4" s="323"/>
      <c r="K4" s="323"/>
    </row>
    <row r="5" spans="1:15">
      <c r="B5" s="302"/>
      <c r="C5" s="324" t="s">
        <v>9</v>
      </c>
      <c r="D5" s="307" t="s">
        <v>322</v>
      </c>
      <c r="E5" s="327"/>
      <c r="F5" s="307" t="s">
        <v>1017</v>
      </c>
      <c r="G5" s="327"/>
      <c r="H5" s="103" t="s">
        <v>68</v>
      </c>
      <c r="I5" s="307" t="s">
        <v>1056</v>
      </c>
      <c r="J5" s="327"/>
      <c r="K5" s="103" t="s">
        <v>68</v>
      </c>
    </row>
    <row r="6" spans="1:15">
      <c r="B6" s="303"/>
      <c r="C6" s="325"/>
      <c r="D6" s="103" t="s">
        <v>8</v>
      </c>
      <c r="E6" s="103" t="s">
        <v>103</v>
      </c>
      <c r="F6" s="103" t="s">
        <v>8</v>
      </c>
      <c r="G6" s="103" t="s">
        <v>103</v>
      </c>
      <c r="H6" s="103" t="s">
        <v>70</v>
      </c>
      <c r="I6" s="103" t="s">
        <v>8</v>
      </c>
      <c r="J6" s="103" t="s">
        <v>103</v>
      </c>
      <c r="K6" s="103" t="s">
        <v>70</v>
      </c>
    </row>
    <row r="7" spans="1:15">
      <c r="B7" s="304"/>
      <c r="C7" s="326"/>
      <c r="D7" s="103" t="s">
        <v>10</v>
      </c>
      <c r="E7" s="103" t="s">
        <v>105</v>
      </c>
      <c r="F7" s="103" t="s">
        <v>10</v>
      </c>
      <c r="G7" s="103" t="s">
        <v>105</v>
      </c>
      <c r="H7" s="104" t="s">
        <v>69</v>
      </c>
      <c r="I7" s="103" t="s">
        <v>10</v>
      </c>
      <c r="J7" s="103" t="s">
        <v>105</v>
      </c>
      <c r="K7" s="104" t="s">
        <v>69</v>
      </c>
    </row>
    <row r="8" spans="1:15" ht="14.1" customHeight="1">
      <c r="B8" s="11">
        <v>1</v>
      </c>
      <c r="C8" s="99" t="s">
        <v>11</v>
      </c>
      <c r="D8" s="157">
        <f t="shared" ref="D8:E8" si="0">SUM(D9:D20)</f>
        <v>5484.46</v>
      </c>
      <c r="E8" s="157">
        <f t="shared" si="0"/>
        <v>1884.8899999999999</v>
      </c>
      <c r="F8" s="157">
        <f>SUM(F9:F22)</f>
        <v>19567.360000000004</v>
      </c>
      <c r="G8" s="157">
        <f>SUM(G9:G22)</f>
        <v>6653.7199999999984</v>
      </c>
      <c r="H8" s="278">
        <f>SUM(G8-E8)*100/E8</f>
        <v>253.00309301869066</v>
      </c>
      <c r="I8" s="280">
        <v>18093.87</v>
      </c>
      <c r="J8" s="279">
        <v>8050.22</v>
      </c>
      <c r="K8" s="220">
        <f>SUM(J8-G8)*100/G8</f>
        <v>20.988259199365199</v>
      </c>
      <c r="L8" s="8"/>
      <c r="O8" s="115"/>
    </row>
    <row r="9" spans="1:15" ht="14.1" customHeight="1">
      <c r="B9" s="11" t="s">
        <v>48</v>
      </c>
      <c r="C9" s="100" t="s">
        <v>60</v>
      </c>
      <c r="D9" s="208">
        <v>3952.58</v>
      </c>
      <c r="E9" s="208">
        <v>1412.55</v>
      </c>
      <c r="F9" s="276">
        <v>11209.51</v>
      </c>
      <c r="G9" s="276">
        <v>4436.5</v>
      </c>
      <c r="H9" s="223">
        <f>SUM(G9-E9)*100/E9</f>
        <v>214.07737779193658</v>
      </c>
      <c r="I9" s="297">
        <v>10445.33</v>
      </c>
      <c r="J9" s="287">
        <v>5393.14</v>
      </c>
      <c r="K9" s="207">
        <f t="shared" ref="K9:K20" si="1">SUM(J9-G9)*100/G9</f>
        <v>21.562943761974537</v>
      </c>
      <c r="L9" s="44"/>
      <c r="M9" s="45"/>
      <c r="O9" s="115"/>
    </row>
    <row r="10" spans="1:15" ht="14.1" customHeight="1">
      <c r="B10" s="11" t="s">
        <v>49</v>
      </c>
      <c r="C10" s="100" t="s">
        <v>13</v>
      </c>
      <c r="D10" s="208">
        <v>294.31</v>
      </c>
      <c r="E10" s="208">
        <v>42.72</v>
      </c>
      <c r="F10" s="277">
        <v>381.91</v>
      </c>
      <c r="G10" s="277">
        <v>77.09</v>
      </c>
      <c r="H10" s="223">
        <f>SUM(G10-E10)*100/E10</f>
        <v>80.454119850187283</v>
      </c>
      <c r="I10" s="298">
        <v>550.01</v>
      </c>
      <c r="J10" s="288">
        <v>131.44</v>
      </c>
      <c r="K10" s="207">
        <f t="shared" si="1"/>
        <v>70.502010636917873</v>
      </c>
      <c r="L10" s="44"/>
      <c r="M10" s="45"/>
      <c r="O10" s="115"/>
    </row>
    <row r="11" spans="1:15" ht="14.1" customHeight="1">
      <c r="B11" s="11" t="s">
        <v>50</v>
      </c>
      <c r="C11" s="100" t="s">
        <v>15</v>
      </c>
      <c r="D11" s="208">
        <v>33.85</v>
      </c>
      <c r="E11" s="208">
        <v>9.2200000000000006</v>
      </c>
      <c r="F11" s="277">
        <v>141.80000000000001</v>
      </c>
      <c r="G11" s="277">
        <v>44.53</v>
      </c>
      <c r="H11" s="223">
        <f>SUM(G11-E11)*100/E11</f>
        <v>382.97180043383946</v>
      </c>
      <c r="I11" s="298">
        <v>100.26</v>
      </c>
      <c r="J11" s="288">
        <v>31.29</v>
      </c>
      <c r="K11" s="207">
        <f>SUM(J11-G11)*100/G11</f>
        <v>-29.732764428475189</v>
      </c>
      <c r="L11" s="44"/>
      <c r="M11" s="45"/>
      <c r="O11" s="115"/>
    </row>
    <row r="12" spans="1:15" ht="14.1" customHeight="1">
      <c r="B12" s="11" t="s">
        <v>51</v>
      </c>
      <c r="C12" s="100" t="s">
        <v>14</v>
      </c>
      <c r="D12" s="208">
        <v>0.33</v>
      </c>
      <c r="E12" s="208">
        <v>0.75</v>
      </c>
      <c r="F12" s="277">
        <v>2.2999999999999998</v>
      </c>
      <c r="G12" s="277">
        <v>4.8</v>
      </c>
      <c r="H12" s="223">
        <f>SUM(G12-E12)*100/E12</f>
        <v>540</v>
      </c>
      <c r="I12" s="298">
        <v>2.2400000000000002</v>
      </c>
      <c r="J12" s="288">
        <v>4.1900000000000004</v>
      </c>
      <c r="K12" s="207">
        <f>SUM(J12-G12)*100/G12</f>
        <v>-12.708333333333321</v>
      </c>
      <c r="L12" s="44"/>
      <c r="M12" s="45"/>
      <c r="O12" s="115"/>
    </row>
    <row r="13" spans="1:15" ht="14.1" customHeight="1">
      <c r="B13" s="11" t="s">
        <v>52</v>
      </c>
      <c r="C13" s="100" t="s">
        <v>16</v>
      </c>
      <c r="D13" s="208">
        <v>90.9</v>
      </c>
      <c r="E13" s="208">
        <v>60.07</v>
      </c>
      <c r="F13" s="277">
        <v>98.79</v>
      </c>
      <c r="G13" s="277">
        <v>63.62</v>
      </c>
      <c r="H13" s="223">
        <f t="shared" ref="H13:H20" si="2">SUM(G13-E13)*100/E13</f>
        <v>5.9097719327451257</v>
      </c>
      <c r="I13" s="298">
        <v>244.39</v>
      </c>
      <c r="J13" s="288">
        <v>164</v>
      </c>
      <c r="K13" s="207">
        <f t="shared" si="1"/>
        <v>157.78057214712356</v>
      </c>
      <c r="L13" s="44"/>
      <c r="M13" s="45"/>
      <c r="O13" s="115"/>
    </row>
    <row r="14" spans="1:15" ht="14.1" customHeight="1">
      <c r="B14" s="11" t="s">
        <v>53</v>
      </c>
      <c r="C14" s="100" t="s">
        <v>75</v>
      </c>
      <c r="D14" s="208">
        <v>199.67</v>
      </c>
      <c r="E14" s="208">
        <v>173.8</v>
      </c>
      <c r="F14" s="276">
        <v>1101.44</v>
      </c>
      <c r="G14" s="277">
        <v>490.5</v>
      </c>
      <c r="H14" s="223">
        <f t="shared" si="2"/>
        <v>182.22094361334865</v>
      </c>
      <c r="I14" s="298">
        <v>760.25</v>
      </c>
      <c r="J14" s="288">
        <v>547.04999999999995</v>
      </c>
      <c r="K14" s="207">
        <f t="shared" si="1"/>
        <v>11.529051987767575</v>
      </c>
      <c r="L14" s="44"/>
      <c r="M14" s="45"/>
      <c r="O14" s="115"/>
    </row>
    <row r="15" spans="1:15" ht="14.1" customHeight="1">
      <c r="B15" s="11" t="s">
        <v>54</v>
      </c>
      <c r="C15" s="100" t="s">
        <v>5</v>
      </c>
      <c r="D15" s="208">
        <v>0</v>
      </c>
      <c r="E15" s="208">
        <v>0</v>
      </c>
      <c r="F15" s="277">
        <v>0.4</v>
      </c>
      <c r="G15" s="277">
        <v>0.69</v>
      </c>
      <c r="H15" s="223">
        <v>0</v>
      </c>
      <c r="I15" s="298">
        <v>1.03</v>
      </c>
      <c r="J15" s="288">
        <v>1.8</v>
      </c>
      <c r="K15" s="207">
        <f t="shared" si="1"/>
        <v>160.86956521739134</v>
      </c>
      <c r="L15" s="44"/>
      <c r="M15" s="45"/>
      <c r="O15" s="115"/>
    </row>
    <row r="16" spans="1:15" ht="14.1" customHeight="1">
      <c r="B16" s="11" t="s">
        <v>55</v>
      </c>
      <c r="C16" s="100" t="s">
        <v>12</v>
      </c>
      <c r="D16" s="208">
        <v>185.4</v>
      </c>
      <c r="E16" s="208">
        <v>78.73</v>
      </c>
      <c r="F16" s="276">
        <v>1132.78</v>
      </c>
      <c r="G16" s="277">
        <v>776.54</v>
      </c>
      <c r="H16" s="223">
        <f t="shared" si="2"/>
        <v>886.33303696176802</v>
      </c>
      <c r="I16" s="298">
        <v>852.77</v>
      </c>
      <c r="J16" s="288">
        <v>830.77</v>
      </c>
      <c r="K16" s="207">
        <f t="shared" si="1"/>
        <v>6.98354238030237</v>
      </c>
      <c r="L16" s="44"/>
      <c r="M16" s="45"/>
      <c r="O16" s="115"/>
    </row>
    <row r="17" spans="2:15" ht="14.1" customHeight="1">
      <c r="B17" s="11" t="s">
        <v>1</v>
      </c>
      <c r="C17" s="100" t="s">
        <v>59</v>
      </c>
      <c r="D17" s="208">
        <v>549.07000000000005</v>
      </c>
      <c r="E17" s="208">
        <v>74.88</v>
      </c>
      <c r="F17" s="276">
        <v>2082.54</v>
      </c>
      <c r="G17" s="277">
        <v>525.52</v>
      </c>
      <c r="H17" s="223">
        <f t="shared" si="2"/>
        <v>601.81623931623938</v>
      </c>
      <c r="I17" s="297">
        <v>2240.58</v>
      </c>
      <c r="J17" s="288">
        <v>573.12</v>
      </c>
      <c r="K17" s="207">
        <f t="shared" si="1"/>
        <v>9.0576952351956201</v>
      </c>
      <c r="L17" s="44"/>
      <c r="M17" s="45"/>
      <c r="O17" s="115"/>
    </row>
    <row r="18" spans="2:15" ht="14.1" customHeight="1">
      <c r="B18" s="11" t="s">
        <v>97</v>
      </c>
      <c r="C18" s="100" t="s">
        <v>99</v>
      </c>
      <c r="D18" s="208">
        <v>1.1000000000000001</v>
      </c>
      <c r="E18" s="208">
        <v>0.03</v>
      </c>
      <c r="F18" s="276">
        <v>2966.26</v>
      </c>
      <c r="G18" s="277">
        <v>34.03</v>
      </c>
      <c r="H18" s="223">
        <f t="shared" si="2"/>
        <v>113333.33333333334</v>
      </c>
      <c r="I18" s="297">
        <v>2403.38</v>
      </c>
      <c r="J18" s="288">
        <v>30.5</v>
      </c>
      <c r="K18" s="207">
        <f t="shared" si="1"/>
        <v>-10.373200117543346</v>
      </c>
      <c r="L18" s="44"/>
      <c r="M18" s="45"/>
      <c r="O18" s="115"/>
    </row>
    <row r="19" spans="2:15" ht="14.1" customHeight="1">
      <c r="B19" s="11" t="s">
        <v>98</v>
      </c>
      <c r="C19" s="100" t="s">
        <v>95</v>
      </c>
      <c r="D19" s="208">
        <v>0.54</v>
      </c>
      <c r="E19" s="208">
        <v>0.38</v>
      </c>
      <c r="F19" s="277">
        <v>0</v>
      </c>
      <c r="G19" s="277">
        <v>0</v>
      </c>
      <c r="H19" s="223">
        <f t="shared" si="2"/>
        <v>-100</v>
      </c>
      <c r="I19" s="298">
        <v>0.01</v>
      </c>
      <c r="J19" s="288">
        <v>0.01</v>
      </c>
      <c r="K19" s="207">
        <v>0</v>
      </c>
      <c r="L19" s="44"/>
      <c r="M19" s="46"/>
      <c r="O19" s="115"/>
    </row>
    <row r="20" spans="2:15" ht="14.1" customHeight="1">
      <c r="B20" s="11"/>
      <c r="C20" s="100" t="s">
        <v>102</v>
      </c>
      <c r="D20" s="208">
        <v>176.71</v>
      </c>
      <c r="E20" s="208">
        <v>31.76</v>
      </c>
      <c r="F20" s="277">
        <v>449.63</v>
      </c>
      <c r="G20" s="277">
        <v>199.9</v>
      </c>
      <c r="H20" s="223">
        <f t="shared" si="2"/>
        <v>529.40806045340048</v>
      </c>
      <c r="I20" s="298">
        <v>493.64</v>
      </c>
      <c r="J20" s="288">
        <v>342.92</v>
      </c>
      <c r="K20" s="207">
        <f t="shared" si="1"/>
        <v>71.545772886443231</v>
      </c>
      <c r="L20" s="44"/>
      <c r="M20" s="46"/>
      <c r="O20" s="115"/>
    </row>
    <row r="21" spans="2:15" ht="14.1" customHeight="1">
      <c r="B21" s="62"/>
      <c r="C21" s="80" t="s">
        <v>78</v>
      </c>
      <c r="D21" s="208"/>
      <c r="E21" s="208"/>
      <c r="F21" s="208"/>
      <c r="G21" s="208"/>
      <c r="H21" s="207"/>
      <c r="I21" s="208"/>
      <c r="J21" s="205"/>
      <c r="K21" s="207"/>
      <c r="L21" s="44"/>
      <c r="M21" s="46"/>
    </row>
    <row r="22" spans="2:15" ht="14.1" customHeight="1">
      <c r="B22" s="62"/>
      <c r="C22" s="80" t="s">
        <v>77</v>
      </c>
      <c r="D22" s="205"/>
      <c r="E22" s="208"/>
      <c r="F22" s="205"/>
      <c r="G22" s="208"/>
      <c r="H22" s="158"/>
      <c r="I22" s="205"/>
      <c r="J22" s="208"/>
      <c r="K22" s="207"/>
      <c r="L22" s="44"/>
      <c r="M22" s="46"/>
    </row>
    <row r="23" spans="2:15" ht="14.1" customHeight="1">
      <c r="B23" s="11">
        <v>2</v>
      </c>
      <c r="C23" s="101" t="s">
        <v>17</v>
      </c>
      <c r="D23" s="222">
        <v>19</v>
      </c>
      <c r="E23" s="208"/>
      <c r="F23" s="222">
        <v>17</v>
      </c>
      <c r="G23" s="208"/>
      <c r="H23" s="158"/>
      <c r="I23" s="222">
        <v>19</v>
      </c>
      <c r="J23" s="208"/>
      <c r="K23" s="207"/>
      <c r="M23" s="46"/>
    </row>
    <row r="24" spans="2:15" ht="14.1" customHeight="1">
      <c r="B24" s="11">
        <v>3</v>
      </c>
      <c r="C24" s="101" t="s">
        <v>18</v>
      </c>
      <c r="D24" s="223">
        <v>288.65578947368419</v>
      </c>
      <c r="E24" s="158">
        <v>99.204736842105262</v>
      </c>
      <c r="F24" s="223">
        <v>1151.0211764705884</v>
      </c>
      <c r="G24" s="158">
        <v>391.39529411764698</v>
      </c>
      <c r="H24" s="158"/>
      <c r="I24" s="223">
        <f>I8/I23</f>
        <v>952.30894736842095</v>
      </c>
      <c r="J24" s="158">
        <f>J8/I23</f>
        <v>423.69578947368421</v>
      </c>
      <c r="K24" s="207"/>
    </row>
    <row r="25" spans="2:15" ht="14.1" customHeight="1">
      <c r="B25" s="11">
        <v>4</v>
      </c>
      <c r="C25" s="101" t="s">
        <v>19</v>
      </c>
      <c r="D25" s="222">
        <v>24683</v>
      </c>
      <c r="E25" s="224"/>
      <c r="F25" s="222">
        <v>45962</v>
      </c>
      <c r="G25" s="224"/>
      <c r="H25" s="158"/>
      <c r="I25" s="222">
        <v>51614</v>
      </c>
      <c r="J25" s="224"/>
      <c r="K25" s="207"/>
      <c r="O25" s="115"/>
    </row>
    <row r="26" spans="2:15" ht="14.1" customHeight="1">
      <c r="B26" s="11">
        <v>5</v>
      </c>
      <c r="C26" s="101" t="s">
        <v>136</v>
      </c>
      <c r="D26" s="222">
        <v>144</v>
      </c>
      <c r="E26" s="224"/>
      <c r="F26" s="222">
        <v>160</v>
      </c>
      <c r="G26" s="224"/>
      <c r="H26" s="158"/>
      <c r="I26" s="222">
        <v>161</v>
      </c>
      <c r="J26" s="224"/>
      <c r="K26" s="207"/>
      <c r="O26" s="115"/>
    </row>
    <row r="27" spans="2:15" ht="14.1" customHeight="1">
      <c r="B27" s="11">
        <v>6</v>
      </c>
      <c r="C27" s="101" t="s">
        <v>20</v>
      </c>
      <c r="D27" s="159">
        <v>214</v>
      </c>
      <c r="E27" s="224"/>
      <c r="F27" s="159">
        <v>235</v>
      </c>
      <c r="G27" s="224"/>
      <c r="H27" s="158"/>
      <c r="I27" s="159">
        <f>'Cumulative data'!I26</f>
        <v>234</v>
      </c>
      <c r="J27" s="224"/>
      <c r="K27" s="207"/>
      <c r="O27" s="115"/>
    </row>
    <row r="28" spans="2:15" ht="14.1" customHeight="1">
      <c r="B28" s="11">
        <v>7</v>
      </c>
      <c r="C28" s="101" t="s">
        <v>126</v>
      </c>
      <c r="D28" s="225"/>
      <c r="E28" s="159">
        <v>104809</v>
      </c>
      <c r="F28" s="225"/>
      <c r="G28" s="159">
        <v>134688</v>
      </c>
      <c r="H28" s="158">
        <f>SUM(G28-E28)*100/E28</f>
        <v>28.508047972979419</v>
      </c>
      <c r="I28" s="225"/>
      <c r="J28" s="159">
        <f>'Cumulative data'!J27</f>
        <v>136817</v>
      </c>
      <c r="K28" s="207">
        <f>SUM(J28-G28)*100/G28</f>
        <v>1.5806901876930388</v>
      </c>
      <c r="O28" s="115"/>
    </row>
    <row r="29" spans="2:15" ht="14.1" customHeight="1">
      <c r="B29" s="11">
        <v>8</v>
      </c>
      <c r="C29" s="101" t="s">
        <v>57</v>
      </c>
      <c r="D29" s="225">
        <v>1082061</v>
      </c>
      <c r="E29" s="224"/>
      <c r="F29" s="225">
        <v>1397818</v>
      </c>
      <c r="G29" s="224"/>
      <c r="H29" s="158">
        <f>SUM(F29-D29)*100/D29</f>
        <v>29.181072046770005</v>
      </c>
      <c r="I29" s="225">
        <f>'Cumulative data'!I28</f>
        <v>1418105</v>
      </c>
      <c r="J29" s="224"/>
      <c r="K29" s="207">
        <f>SUM(I29-F29)*100/F29</f>
        <v>1.451333435397169</v>
      </c>
      <c r="O29" s="115"/>
    </row>
    <row r="30" spans="2:15" ht="14.1" customHeight="1">
      <c r="B30" s="11">
        <v>9</v>
      </c>
      <c r="C30" s="101" t="s">
        <v>56</v>
      </c>
      <c r="D30" s="225"/>
      <c r="E30" s="158">
        <v>290340.47999999998</v>
      </c>
      <c r="F30" s="225"/>
      <c r="G30" s="158">
        <v>744141.30764949997</v>
      </c>
      <c r="H30" s="158">
        <f>SUM(G30-E30)*100/E30</f>
        <v>156.2995375806708</v>
      </c>
      <c r="I30" s="225"/>
      <c r="J30" s="158">
        <f>'Cumulative data'!J29</f>
        <v>799760.34</v>
      </c>
      <c r="K30" s="207">
        <f>SUM(J30-G30)*100/G30</f>
        <v>7.4742568083180885</v>
      </c>
      <c r="L30" s="123"/>
      <c r="O30" s="115"/>
    </row>
    <row r="31" spans="2:15" ht="14.1" customHeight="1">
      <c r="B31" s="11">
        <v>10</v>
      </c>
      <c r="C31" s="101" t="s">
        <v>58</v>
      </c>
      <c r="D31" s="226"/>
      <c r="E31" s="224"/>
      <c r="F31" s="226"/>
      <c r="G31" s="224"/>
      <c r="H31" s="158"/>
      <c r="I31" s="226"/>
      <c r="J31" s="224"/>
      <c r="K31" s="207"/>
      <c r="L31" s="123"/>
      <c r="O31" s="115"/>
    </row>
    <row r="32" spans="2:15" ht="14.1" customHeight="1">
      <c r="B32" s="11" t="s">
        <v>96</v>
      </c>
      <c r="C32" s="100" t="s">
        <v>21</v>
      </c>
      <c r="D32" s="226"/>
      <c r="E32" s="208">
        <v>501.52</v>
      </c>
      <c r="F32" s="226"/>
      <c r="G32" s="208">
        <v>732.95</v>
      </c>
      <c r="H32" s="158">
        <f>SUM(G32-E32)*100/E32</f>
        <v>46.145717020258431</v>
      </c>
      <c r="I32" s="226"/>
      <c r="J32" s="208">
        <v>806.66</v>
      </c>
      <c r="K32" s="207">
        <f>SUM(J32-G32)*100/G32</f>
        <v>10.056620506173671</v>
      </c>
      <c r="L32" s="123"/>
      <c r="O32" s="115"/>
    </row>
    <row r="33" spans="2:15" ht="14.1" customHeight="1">
      <c r="B33" s="11" t="s">
        <v>96</v>
      </c>
      <c r="C33" s="100" t="s">
        <v>22</v>
      </c>
      <c r="D33" s="226"/>
      <c r="E33" s="208">
        <v>481.94</v>
      </c>
      <c r="F33" s="226"/>
      <c r="G33" s="208">
        <v>633.99</v>
      </c>
      <c r="H33" s="158">
        <f>SUM(G33-E33)*100/E33</f>
        <v>31.549570485952611</v>
      </c>
      <c r="I33" s="226"/>
      <c r="J33" s="208">
        <v>754.09</v>
      </c>
      <c r="K33" s="207">
        <f>SUM(J33-G33)*100/G33</f>
        <v>18.943516459250148</v>
      </c>
      <c r="L33" s="123"/>
      <c r="O33" s="115"/>
    </row>
    <row r="34" spans="2:15" ht="14.1" customHeight="1">
      <c r="B34" s="11" t="s">
        <v>96</v>
      </c>
      <c r="C34" s="100" t="s">
        <v>23</v>
      </c>
      <c r="D34" s="226"/>
      <c r="E34" s="208">
        <v>316.27</v>
      </c>
      <c r="F34" s="226"/>
      <c r="G34" s="208">
        <v>732.95</v>
      </c>
      <c r="H34" s="158">
        <f>SUM(G34-E34)*100/E34</f>
        <v>131.74818983779684</v>
      </c>
      <c r="I34" s="226"/>
      <c r="J34" s="208">
        <v>787.05</v>
      </c>
      <c r="K34" s="207">
        <f>SUM(J34-G34)*100/G34</f>
        <v>7.3811310457739143</v>
      </c>
      <c r="L34" s="123"/>
      <c r="O34" s="115"/>
    </row>
    <row r="35" spans="2:15" ht="14.1" customHeight="1">
      <c r="B35" s="11">
        <v>11</v>
      </c>
      <c r="C35" s="101" t="s">
        <v>113</v>
      </c>
      <c r="D35" s="226"/>
      <c r="E35" s="158">
        <v>251359.31</v>
      </c>
      <c r="F35" s="226"/>
      <c r="G35" s="158">
        <v>607989.63355899998</v>
      </c>
      <c r="H35" s="158">
        <f>SUM(G35-E35)*100/E35</f>
        <v>141.88069006037611</v>
      </c>
      <c r="I35" s="226"/>
      <c r="J35" s="158">
        <f>'Cumulative data'!J34</f>
        <v>647127.66</v>
      </c>
      <c r="K35" s="207">
        <f>SUM(J35-G35)*100/G35</f>
        <v>6.4372851576263024</v>
      </c>
      <c r="L35" s="123"/>
      <c r="O35" s="115"/>
    </row>
    <row r="36" spans="2:15" ht="14.1" customHeight="1">
      <c r="B36" s="11">
        <v>12</v>
      </c>
      <c r="C36" s="101" t="s">
        <v>71</v>
      </c>
      <c r="D36" s="226"/>
      <c r="E36" s="208"/>
      <c r="F36" s="226"/>
      <c r="G36" s="208"/>
      <c r="H36" s="158"/>
      <c r="I36" s="226"/>
      <c r="J36" s="208"/>
      <c r="K36" s="207"/>
      <c r="O36" s="115"/>
    </row>
    <row r="37" spans="2:15" ht="14.1" customHeight="1">
      <c r="B37" s="11" t="s">
        <v>96</v>
      </c>
      <c r="C37" s="100" t="s">
        <v>21</v>
      </c>
      <c r="D37" s="226"/>
      <c r="E37" s="208">
        <v>127.25</v>
      </c>
      <c r="F37" s="226"/>
      <c r="G37" s="208">
        <v>181.98</v>
      </c>
      <c r="H37" s="158">
        <f>SUM(G37-E37)*100/E37</f>
        <v>43.009823182711195</v>
      </c>
      <c r="I37" s="226"/>
      <c r="J37" s="208">
        <v>201.62</v>
      </c>
      <c r="K37" s="207">
        <f>SUM(J37-G37)*100/G37</f>
        <v>10.792394768655905</v>
      </c>
      <c r="O37" s="115"/>
    </row>
    <row r="38" spans="2:15" ht="14.1" customHeight="1">
      <c r="B38" s="11" t="s">
        <v>96</v>
      </c>
      <c r="C38" s="100" t="s">
        <v>22</v>
      </c>
      <c r="D38" s="226"/>
      <c r="E38" s="208">
        <v>122.82</v>
      </c>
      <c r="F38" s="226"/>
      <c r="G38" s="208">
        <v>158.47</v>
      </c>
      <c r="H38" s="158">
        <f>SUM(G38-E38)*100/E38</f>
        <v>29.026217228464425</v>
      </c>
      <c r="I38" s="226"/>
      <c r="J38" s="208">
        <v>186.42</v>
      </c>
      <c r="K38" s="207">
        <f>SUM(J38-G38)*100/G38</f>
        <v>17.637407711238716</v>
      </c>
      <c r="O38" s="115"/>
    </row>
    <row r="39" spans="2:15" ht="14.1" customHeight="1">
      <c r="B39" s="11" t="s">
        <v>96</v>
      </c>
      <c r="C39" s="100" t="s">
        <v>23</v>
      </c>
      <c r="D39" s="226"/>
      <c r="E39" s="208">
        <v>78.42</v>
      </c>
      <c r="F39" s="226"/>
      <c r="G39" s="208">
        <v>181.98</v>
      </c>
      <c r="H39" s="158">
        <f>SUM(G39-E39)*100/E39</f>
        <v>132.05814843152254</v>
      </c>
      <c r="I39" s="226"/>
      <c r="J39" s="208">
        <v>193.38</v>
      </c>
      <c r="K39" s="207">
        <f>SUM(J39-G39)*100/G39</f>
        <v>6.2644246620507777</v>
      </c>
      <c r="O39" s="115"/>
    </row>
    <row r="40" spans="2:15" ht="14.25" customHeight="1">
      <c r="B40" s="11">
        <v>13</v>
      </c>
      <c r="C40" s="101" t="s">
        <v>1081</v>
      </c>
      <c r="D40" s="226"/>
      <c r="E40" s="224"/>
      <c r="F40" s="226"/>
      <c r="G40" s="224"/>
      <c r="H40" s="158"/>
      <c r="I40" s="226"/>
      <c r="J40" s="224"/>
      <c r="K40" s="207"/>
      <c r="O40" s="115"/>
    </row>
    <row r="41" spans="2:15" ht="14.1" customHeight="1">
      <c r="B41" s="11" t="s">
        <v>96</v>
      </c>
      <c r="C41" s="100" t="s">
        <v>21</v>
      </c>
      <c r="D41" s="227"/>
      <c r="E41" s="214">
        <v>35.49</v>
      </c>
      <c r="F41" s="227"/>
      <c r="G41" s="214">
        <v>43.22</v>
      </c>
      <c r="H41" s="158">
        <f>SUM(G41-E41)*100/E41</f>
        <v>21.780783319244847</v>
      </c>
      <c r="I41" s="227"/>
      <c r="J41" s="214">
        <v>47.28</v>
      </c>
      <c r="K41" s="207">
        <f>SUM(J41-G41)*100/G41</f>
        <v>9.3937991670522969</v>
      </c>
      <c r="O41" s="115"/>
    </row>
    <row r="42" spans="2:15" ht="14.1" customHeight="1">
      <c r="B42" s="11" t="s">
        <v>96</v>
      </c>
      <c r="C42" s="100" t="s">
        <v>22</v>
      </c>
      <c r="D42" s="227"/>
      <c r="E42" s="214">
        <v>34.28</v>
      </c>
      <c r="F42" s="227"/>
      <c r="G42" s="214">
        <v>38</v>
      </c>
      <c r="H42" s="158">
        <f>SUM(G42-E42)*100/E42</f>
        <v>10.851808634772459</v>
      </c>
      <c r="I42" s="227"/>
      <c r="J42" s="214">
        <v>44.17</v>
      </c>
      <c r="K42" s="207">
        <f>SUM(J42-G42)*100/G42</f>
        <v>16.236842105263165</v>
      </c>
      <c r="O42" s="115"/>
    </row>
    <row r="43" spans="2:15" ht="14.1" customHeight="1">
      <c r="B43" s="11" t="s">
        <v>96</v>
      </c>
      <c r="C43" s="102" t="s">
        <v>23</v>
      </c>
      <c r="D43" s="227"/>
      <c r="E43" s="217">
        <v>25.19</v>
      </c>
      <c r="F43" s="227"/>
      <c r="G43" s="217">
        <v>43.22</v>
      </c>
      <c r="H43" s="158">
        <f>SUM(G43-E43)*100/E43</f>
        <v>71.57602223104405</v>
      </c>
      <c r="I43" s="227"/>
      <c r="J43" s="217">
        <v>45.74</v>
      </c>
      <c r="K43" s="207">
        <f>SUM(J43-G43)*100/G43</f>
        <v>5.8306339657566015</v>
      </c>
      <c r="O43" s="115"/>
    </row>
    <row r="44" spans="2:15" ht="20.25" customHeight="1">
      <c r="B44" s="150"/>
      <c r="C44" s="160" t="s">
        <v>1082</v>
      </c>
      <c r="D44" s="161"/>
      <c r="E44" s="162"/>
      <c r="F44" s="161"/>
      <c r="G44" s="162"/>
      <c r="H44" s="163"/>
      <c r="I44" s="161"/>
      <c r="J44" s="164"/>
      <c r="K44" s="163"/>
      <c r="O44" s="115"/>
    </row>
    <row r="45" spans="2:15" ht="3" customHeight="1">
      <c r="O45" s="115"/>
    </row>
    <row r="46" spans="2:15" ht="24.95" hidden="1" customHeight="1">
      <c r="B46" s="320" t="s">
        <v>244</v>
      </c>
      <c r="C46" s="320"/>
      <c r="D46" s="320"/>
      <c r="E46" s="320"/>
      <c r="F46" s="320"/>
      <c r="G46" s="320"/>
    </row>
    <row r="47" spans="2:15" ht="24.95" hidden="1" customHeight="1">
      <c r="B47" s="48" t="s">
        <v>66</v>
      </c>
      <c r="C47" s="48" t="s">
        <v>120</v>
      </c>
      <c r="D47" s="51" t="s">
        <v>121</v>
      </c>
      <c r="E47" s="51" t="s">
        <v>122</v>
      </c>
      <c r="F47" s="52" t="s">
        <v>269</v>
      </c>
      <c r="G47" s="53" t="s">
        <v>123</v>
      </c>
    </row>
    <row r="48" spans="2:15" ht="24.95" hidden="1" customHeight="1">
      <c r="B48" s="77">
        <v>1</v>
      </c>
      <c r="C48" s="105" t="s">
        <v>250</v>
      </c>
      <c r="D48" s="106" t="s">
        <v>195</v>
      </c>
      <c r="E48" s="64">
        <v>700</v>
      </c>
      <c r="F48" s="65">
        <f>E48/10</f>
        <v>70</v>
      </c>
      <c r="G48" s="113" t="s">
        <v>251</v>
      </c>
    </row>
    <row r="49" spans="2:7" ht="24.95" hidden="1" customHeight="1">
      <c r="B49" s="77">
        <v>2</v>
      </c>
      <c r="C49" s="145" t="s">
        <v>253</v>
      </c>
      <c r="D49" s="106" t="s">
        <v>195</v>
      </c>
      <c r="E49" s="64">
        <v>219.24</v>
      </c>
      <c r="F49" s="65">
        <f t="shared" ref="F49:F60" si="3">E49/10</f>
        <v>21.923999999999999</v>
      </c>
      <c r="G49" s="113" t="s">
        <v>251</v>
      </c>
    </row>
    <row r="50" spans="2:7" ht="24.95" hidden="1" customHeight="1">
      <c r="B50" s="77">
        <v>3</v>
      </c>
      <c r="C50" s="145" t="s">
        <v>254</v>
      </c>
      <c r="D50" s="106" t="s">
        <v>195</v>
      </c>
      <c r="E50" s="64">
        <v>500</v>
      </c>
      <c r="F50" s="65">
        <f t="shared" si="3"/>
        <v>50</v>
      </c>
      <c r="G50" s="113" t="s">
        <v>251</v>
      </c>
    </row>
    <row r="51" spans="2:7" ht="24.95" hidden="1" customHeight="1">
      <c r="B51" s="77">
        <v>4</v>
      </c>
      <c r="C51" s="145" t="s">
        <v>255</v>
      </c>
      <c r="D51" s="106" t="s">
        <v>195</v>
      </c>
      <c r="E51" s="64">
        <v>2625</v>
      </c>
      <c r="F51" s="65">
        <f t="shared" si="3"/>
        <v>262.5</v>
      </c>
      <c r="G51" s="113" t="s">
        <v>251</v>
      </c>
    </row>
    <row r="52" spans="2:7" ht="24.95" hidden="1" customHeight="1">
      <c r="B52" s="77">
        <v>5</v>
      </c>
      <c r="C52" s="145" t="s">
        <v>256</v>
      </c>
      <c r="D52" s="106" t="s">
        <v>195</v>
      </c>
      <c r="E52" s="64">
        <v>250</v>
      </c>
      <c r="F52" s="65">
        <f t="shared" si="3"/>
        <v>25</v>
      </c>
      <c r="G52" s="113" t="s">
        <v>251</v>
      </c>
    </row>
    <row r="53" spans="2:7" ht="24.95" hidden="1" customHeight="1">
      <c r="B53" s="77">
        <v>6</v>
      </c>
      <c r="C53" s="145" t="s">
        <v>257</v>
      </c>
      <c r="D53" s="106" t="s">
        <v>195</v>
      </c>
      <c r="E53" s="64">
        <v>66.7</v>
      </c>
      <c r="F53" s="65">
        <f t="shared" si="3"/>
        <v>6.67</v>
      </c>
      <c r="G53" s="113" t="s">
        <v>251</v>
      </c>
    </row>
    <row r="54" spans="2:7" ht="24.95" hidden="1" customHeight="1">
      <c r="B54" s="77">
        <v>7</v>
      </c>
      <c r="C54" s="145" t="s">
        <v>258</v>
      </c>
      <c r="D54" s="106" t="s">
        <v>195</v>
      </c>
      <c r="E54" s="64">
        <v>127.84</v>
      </c>
      <c r="F54" s="65">
        <f t="shared" si="3"/>
        <v>12.784000000000001</v>
      </c>
      <c r="G54" s="113" t="s">
        <v>259</v>
      </c>
    </row>
    <row r="55" spans="2:7" ht="24.95" hidden="1" customHeight="1">
      <c r="B55" s="77">
        <v>8</v>
      </c>
      <c r="C55" s="145" t="s">
        <v>260</v>
      </c>
      <c r="D55" s="106" t="s">
        <v>195</v>
      </c>
      <c r="E55" s="64">
        <v>246.75</v>
      </c>
      <c r="F55" s="65">
        <f t="shared" si="3"/>
        <v>24.675000000000001</v>
      </c>
      <c r="G55" s="113" t="s">
        <v>259</v>
      </c>
    </row>
    <row r="56" spans="2:7" ht="24.95" hidden="1" customHeight="1">
      <c r="B56" s="77">
        <v>9</v>
      </c>
      <c r="C56" s="145" t="s">
        <v>261</v>
      </c>
      <c r="D56" s="106" t="s">
        <v>195</v>
      </c>
      <c r="E56" s="64">
        <v>234</v>
      </c>
      <c r="F56" s="65">
        <f t="shared" si="3"/>
        <v>23.4</v>
      </c>
      <c r="G56" s="113" t="s">
        <v>259</v>
      </c>
    </row>
    <row r="57" spans="2:7" ht="24.95" hidden="1" customHeight="1">
      <c r="B57" s="77">
        <v>10</v>
      </c>
      <c r="C57" s="145" t="s">
        <v>262</v>
      </c>
      <c r="D57" s="106" t="s">
        <v>195</v>
      </c>
      <c r="E57" s="64">
        <v>234</v>
      </c>
      <c r="F57" s="65">
        <f t="shared" si="3"/>
        <v>23.4</v>
      </c>
      <c r="G57" s="113" t="s">
        <v>259</v>
      </c>
    </row>
    <row r="58" spans="2:7" ht="24.95" hidden="1" customHeight="1">
      <c r="B58" s="77">
        <v>11</v>
      </c>
      <c r="C58" s="145" t="s">
        <v>266</v>
      </c>
      <c r="D58" s="106" t="s">
        <v>195</v>
      </c>
      <c r="E58" s="64">
        <v>75.349999999999994</v>
      </c>
      <c r="F58" s="65">
        <f t="shared" si="3"/>
        <v>7.5349999999999993</v>
      </c>
      <c r="G58" s="113" t="s">
        <v>259</v>
      </c>
    </row>
    <row r="59" spans="2:7" ht="24.95" hidden="1" customHeight="1">
      <c r="B59" s="77">
        <v>12</v>
      </c>
      <c r="C59" s="145" t="s">
        <v>267</v>
      </c>
      <c r="D59" s="106" t="s">
        <v>195</v>
      </c>
      <c r="E59" s="64">
        <v>3600</v>
      </c>
      <c r="F59" s="65">
        <f t="shared" si="3"/>
        <v>360</v>
      </c>
      <c r="G59" s="113" t="s">
        <v>259</v>
      </c>
    </row>
    <row r="60" spans="2:7" ht="24.95" hidden="1" customHeight="1">
      <c r="B60" s="77">
        <v>13</v>
      </c>
      <c r="C60" s="145" t="s">
        <v>268</v>
      </c>
      <c r="D60" s="106" t="s">
        <v>195</v>
      </c>
      <c r="E60" s="64">
        <v>392.73</v>
      </c>
      <c r="F60" s="65">
        <f t="shared" si="3"/>
        <v>39.273000000000003</v>
      </c>
      <c r="G60" s="113" t="s">
        <v>259</v>
      </c>
    </row>
    <row r="61" spans="2:7" ht="24.95" hidden="1" customHeight="1">
      <c r="B61" s="47"/>
      <c r="C61" s="316" t="s">
        <v>61</v>
      </c>
      <c r="D61" s="317"/>
      <c r="E61" s="55">
        <f>SUM(E48:E60)</f>
        <v>9271.61</v>
      </c>
      <c r="F61" s="55">
        <f>SUM(F48:F60)</f>
        <v>927.16099999999994</v>
      </c>
      <c r="G61" s="54"/>
    </row>
    <row r="62" spans="2:7" ht="24.95" hidden="1" customHeight="1">
      <c r="B62" s="77">
        <v>1</v>
      </c>
      <c r="C62" s="105" t="s">
        <v>250</v>
      </c>
      <c r="D62" s="106" t="s">
        <v>252</v>
      </c>
      <c r="E62" s="64">
        <v>21.8</v>
      </c>
      <c r="F62" s="65">
        <f>E62/10</f>
        <v>2.1800000000000002</v>
      </c>
      <c r="G62" s="113" t="s">
        <v>251</v>
      </c>
    </row>
    <row r="63" spans="2:7" ht="24.95" hidden="1" customHeight="1">
      <c r="B63" s="77">
        <v>2</v>
      </c>
      <c r="C63" s="145" t="s">
        <v>263</v>
      </c>
      <c r="D63" s="106" t="s">
        <v>264</v>
      </c>
      <c r="E63" s="64">
        <v>1655.8</v>
      </c>
      <c r="F63" s="65">
        <f>E63/10</f>
        <v>165.57999999999998</v>
      </c>
      <c r="G63" s="113" t="s">
        <v>265</v>
      </c>
    </row>
    <row r="64" spans="2:7" ht="24.95" hidden="1" customHeight="1">
      <c r="B64" s="47"/>
      <c r="C64" s="316" t="s">
        <v>61</v>
      </c>
      <c r="D64" s="317"/>
      <c r="E64" s="55">
        <f>SUM(E62:E63)</f>
        <v>1677.6</v>
      </c>
      <c r="F64" s="55">
        <f>SUM(F62:F63)</f>
        <v>167.76</v>
      </c>
      <c r="G64" s="54"/>
    </row>
    <row r="65" spans="2:7" ht="24.95" hidden="1" customHeight="1">
      <c r="B65" s="49"/>
      <c r="C65" s="318" t="s">
        <v>124</v>
      </c>
      <c r="D65" s="319"/>
      <c r="E65" s="50">
        <f>E64+E61</f>
        <v>10949.210000000001</v>
      </c>
      <c r="F65" s="50">
        <f>F64+F61</f>
        <v>1094.9209999999998</v>
      </c>
      <c r="G65" s="50"/>
    </row>
    <row r="66" spans="2:7" ht="24.95" hidden="1" customHeight="1"/>
    <row r="67" spans="2:7" hidden="1"/>
    <row r="69" spans="2:7" ht="24.95" hidden="1" customHeight="1">
      <c r="B69" s="313" t="s">
        <v>285</v>
      </c>
      <c r="C69" s="314"/>
      <c r="D69" s="314"/>
      <c r="E69" s="314"/>
      <c r="F69" s="314"/>
      <c r="G69" s="315"/>
    </row>
    <row r="70" spans="2:7" ht="24.95" hidden="1" customHeight="1">
      <c r="B70" s="48" t="s">
        <v>66</v>
      </c>
      <c r="C70" s="48" t="s">
        <v>120</v>
      </c>
      <c r="D70" s="51" t="s">
        <v>121</v>
      </c>
      <c r="E70" s="51" t="s">
        <v>122</v>
      </c>
      <c r="F70" s="52" t="s">
        <v>269</v>
      </c>
      <c r="G70" s="53" t="s">
        <v>123</v>
      </c>
    </row>
    <row r="71" spans="2:7" ht="24.95" hidden="1" customHeight="1">
      <c r="B71" s="77">
        <v>1</v>
      </c>
      <c r="C71" s="105" t="s">
        <v>288</v>
      </c>
      <c r="D71" s="106" t="s">
        <v>289</v>
      </c>
      <c r="E71" s="64">
        <v>23300</v>
      </c>
      <c r="F71" s="65">
        <f>E71/10</f>
        <v>2330</v>
      </c>
      <c r="G71" s="113" t="s">
        <v>290</v>
      </c>
    </row>
    <row r="72" spans="2:7" ht="24.95" hidden="1" customHeight="1">
      <c r="B72" s="77">
        <v>2</v>
      </c>
      <c r="C72" s="145" t="s">
        <v>291</v>
      </c>
      <c r="D72" s="106" t="s">
        <v>289</v>
      </c>
      <c r="E72" s="64">
        <v>1000</v>
      </c>
      <c r="F72" s="65">
        <f t="shared" ref="F72:F83" si="4">E72/10</f>
        <v>100</v>
      </c>
      <c r="G72" s="113" t="s">
        <v>290</v>
      </c>
    </row>
    <row r="73" spans="2:7" ht="24.95" hidden="1" customHeight="1">
      <c r="B73" s="77">
        <v>3</v>
      </c>
      <c r="C73" s="145" t="s">
        <v>300</v>
      </c>
      <c r="D73" s="106" t="s">
        <v>289</v>
      </c>
      <c r="E73" s="64">
        <v>400</v>
      </c>
      <c r="F73" s="65">
        <f t="shared" si="4"/>
        <v>40</v>
      </c>
      <c r="G73" s="113" t="s">
        <v>290</v>
      </c>
    </row>
    <row r="74" spans="2:7" ht="24.95" hidden="1" customHeight="1">
      <c r="B74" s="77">
        <v>4</v>
      </c>
      <c r="C74" s="145" t="s">
        <v>301</v>
      </c>
      <c r="D74" s="106" t="s">
        <v>289</v>
      </c>
      <c r="E74" s="64">
        <v>400</v>
      </c>
      <c r="F74" s="65">
        <f>E74/10</f>
        <v>40</v>
      </c>
      <c r="G74" s="113" t="s">
        <v>302</v>
      </c>
    </row>
    <row r="75" spans="2:7" ht="24.95" hidden="1" customHeight="1">
      <c r="B75" s="77">
        <v>5</v>
      </c>
      <c r="C75" s="145" t="s">
        <v>303</v>
      </c>
      <c r="D75" s="106" t="s">
        <v>289</v>
      </c>
      <c r="E75" s="64">
        <v>250</v>
      </c>
      <c r="F75" s="65">
        <f>E75/10</f>
        <v>25</v>
      </c>
      <c r="G75" s="113" t="s">
        <v>302</v>
      </c>
    </row>
    <row r="76" spans="2:7" ht="24.95" hidden="1" customHeight="1">
      <c r="B76" s="77">
        <v>6</v>
      </c>
      <c r="C76" s="145" t="s">
        <v>304</v>
      </c>
      <c r="D76" s="106" t="s">
        <v>289</v>
      </c>
      <c r="E76" s="64">
        <v>1000</v>
      </c>
      <c r="F76" s="65">
        <f>E76/10</f>
        <v>100</v>
      </c>
      <c r="G76" s="113" t="s">
        <v>302</v>
      </c>
    </row>
    <row r="77" spans="2:7" ht="24.95" hidden="1" customHeight="1">
      <c r="B77" s="77">
        <v>7</v>
      </c>
      <c r="C77" s="145" t="s">
        <v>297</v>
      </c>
      <c r="D77" s="106" t="s">
        <v>298</v>
      </c>
      <c r="E77" s="64">
        <v>1555</v>
      </c>
      <c r="F77" s="65">
        <f>E77/10</f>
        <v>155.5</v>
      </c>
      <c r="G77" s="113" t="s">
        <v>293</v>
      </c>
    </row>
    <row r="78" spans="2:7" ht="24.95" hidden="1" customHeight="1">
      <c r="B78" s="47"/>
      <c r="C78" s="316" t="s">
        <v>61</v>
      </c>
      <c r="D78" s="317"/>
      <c r="E78" s="55">
        <f>SUM(E71:E77)</f>
        <v>27905</v>
      </c>
      <c r="F78" s="55">
        <f>SUM(F71:F77)</f>
        <v>2790.5</v>
      </c>
      <c r="G78" s="54"/>
    </row>
    <row r="79" spans="2:7" ht="24.95" hidden="1" customHeight="1">
      <c r="B79" s="77">
        <v>1</v>
      </c>
      <c r="C79" s="145" t="s">
        <v>292</v>
      </c>
      <c r="D79" s="106" t="s">
        <v>195</v>
      </c>
      <c r="E79" s="64">
        <v>139.46</v>
      </c>
      <c r="F79" s="65">
        <f t="shared" si="4"/>
        <v>13.946000000000002</v>
      </c>
      <c r="G79" s="113" t="s">
        <v>293</v>
      </c>
    </row>
    <row r="80" spans="2:7" ht="24.95" hidden="1" customHeight="1">
      <c r="B80" s="77">
        <v>2</v>
      </c>
      <c r="C80" s="145" t="s">
        <v>294</v>
      </c>
      <c r="D80" s="106" t="s">
        <v>195</v>
      </c>
      <c r="E80" s="64">
        <v>1292.06</v>
      </c>
      <c r="F80" s="65">
        <f t="shared" si="4"/>
        <v>129.20599999999999</v>
      </c>
      <c r="G80" s="113" t="s">
        <v>293</v>
      </c>
    </row>
    <row r="81" spans="2:7" ht="24.95" hidden="1" customHeight="1">
      <c r="B81" s="77">
        <v>3</v>
      </c>
      <c r="C81" s="145" t="s">
        <v>295</v>
      </c>
      <c r="D81" s="106" t="s">
        <v>195</v>
      </c>
      <c r="E81" s="64">
        <v>104.83</v>
      </c>
      <c r="F81" s="65">
        <f t="shared" si="4"/>
        <v>10.483000000000001</v>
      </c>
      <c r="G81" s="113" t="s">
        <v>293</v>
      </c>
    </row>
    <row r="82" spans="2:7" ht="24.95" hidden="1" customHeight="1">
      <c r="B82" s="77">
        <v>4</v>
      </c>
      <c r="C82" s="145" t="s">
        <v>296</v>
      </c>
      <c r="D82" s="106" t="s">
        <v>195</v>
      </c>
      <c r="E82" s="64">
        <v>53.74</v>
      </c>
      <c r="F82" s="65">
        <f t="shared" si="4"/>
        <v>5.3740000000000006</v>
      </c>
      <c r="G82" s="113" t="s">
        <v>293</v>
      </c>
    </row>
    <row r="83" spans="2:7" ht="24.95" hidden="1" customHeight="1">
      <c r="B83" s="77">
        <v>5</v>
      </c>
      <c r="C83" s="145" t="s">
        <v>299</v>
      </c>
      <c r="D83" s="106" t="s">
        <v>195</v>
      </c>
      <c r="E83" s="64">
        <v>48.75</v>
      </c>
      <c r="F83" s="65">
        <f t="shared" si="4"/>
        <v>4.875</v>
      </c>
      <c r="G83" s="113" t="s">
        <v>293</v>
      </c>
    </row>
    <row r="84" spans="2:7" ht="24.95" hidden="1" customHeight="1">
      <c r="B84" s="47"/>
      <c r="C84" s="316" t="s">
        <v>61</v>
      </c>
      <c r="D84" s="317"/>
      <c r="E84" s="55">
        <f>SUM(E79:E83)</f>
        <v>1638.84</v>
      </c>
      <c r="F84" s="55">
        <f>SUM(F79:F83)</f>
        <v>163.88399999999999</v>
      </c>
      <c r="G84" s="54"/>
    </row>
    <row r="85" spans="2:7" ht="24.95" hidden="1" customHeight="1">
      <c r="B85" s="49"/>
      <c r="C85" s="318" t="s">
        <v>124</v>
      </c>
      <c r="D85" s="319"/>
      <c r="E85" s="50">
        <f>E84+E78</f>
        <v>29543.84</v>
      </c>
      <c r="F85" s="50">
        <f>F84+F78</f>
        <v>2954.384</v>
      </c>
      <c r="G85" s="50"/>
    </row>
    <row r="86" spans="2:7" ht="24.95" hidden="1" customHeight="1"/>
    <row r="87" spans="2:7" hidden="1"/>
    <row r="89" spans="2:7" ht="24.95" hidden="1" customHeight="1">
      <c r="B89" s="313" t="s">
        <v>305</v>
      </c>
      <c r="C89" s="314"/>
      <c r="D89" s="314"/>
      <c r="E89" s="314"/>
      <c r="F89" s="314"/>
      <c r="G89" s="315"/>
    </row>
    <row r="90" spans="2:7" ht="24.95" hidden="1" customHeight="1">
      <c r="B90" s="48" t="s">
        <v>66</v>
      </c>
      <c r="C90" s="48" t="s">
        <v>120</v>
      </c>
      <c r="D90" s="51" t="s">
        <v>121</v>
      </c>
      <c r="E90" s="51" t="s">
        <v>122</v>
      </c>
      <c r="F90" s="52" t="s">
        <v>269</v>
      </c>
      <c r="G90" s="53" t="s">
        <v>123</v>
      </c>
    </row>
    <row r="91" spans="2:7" ht="24.95" hidden="1" customHeight="1">
      <c r="B91" s="77">
        <v>1</v>
      </c>
      <c r="C91" s="105" t="s">
        <v>312</v>
      </c>
      <c r="D91" s="106" t="s">
        <v>289</v>
      </c>
      <c r="E91" s="64">
        <v>601</v>
      </c>
      <c r="F91" s="65">
        <f>E91/10</f>
        <v>60.1</v>
      </c>
      <c r="G91" s="113" t="s">
        <v>313</v>
      </c>
    </row>
    <row r="92" spans="2:7" ht="24.95" hidden="1" customHeight="1">
      <c r="B92" s="77">
        <v>2</v>
      </c>
      <c r="C92" s="145" t="s">
        <v>314</v>
      </c>
      <c r="D92" s="106" t="s">
        <v>289</v>
      </c>
      <c r="E92" s="64">
        <v>5200</v>
      </c>
      <c r="F92" s="65">
        <f t="shared" ref="F92:F93" si="5">E92/10</f>
        <v>520</v>
      </c>
      <c r="G92" s="113" t="s">
        <v>313</v>
      </c>
    </row>
    <row r="93" spans="2:7" ht="24.95" hidden="1" customHeight="1">
      <c r="B93" s="77">
        <v>3</v>
      </c>
      <c r="C93" s="145" t="s">
        <v>315</v>
      </c>
      <c r="D93" s="106" t="s">
        <v>289</v>
      </c>
      <c r="E93" s="64">
        <v>2000</v>
      </c>
      <c r="F93" s="65">
        <f t="shared" si="5"/>
        <v>200</v>
      </c>
      <c r="G93" s="113" t="s">
        <v>313</v>
      </c>
    </row>
    <row r="94" spans="2:7" ht="24.95" hidden="1" customHeight="1">
      <c r="B94" s="77">
        <v>4</v>
      </c>
      <c r="C94" s="145" t="s">
        <v>316</v>
      </c>
      <c r="D94" s="106" t="s">
        <v>289</v>
      </c>
      <c r="E94" s="64">
        <v>2000</v>
      </c>
      <c r="F94" s="65">
        <f>E94/10</f>
        <v>200</v>
      </c>
      <c r="G94" s="113" t="s">
        <v>313</v>
      </c>
    </row>
    <row r="95" spans="2:7" ht="24.95" hidden="1" customHeight="1">
      <c r="B95" s="47"/>
      <c r="C95" s="316" t="s">
        <v>61</v>
      </c>
      <c r="D95" s="317"/>
      <c r="E95" s="55">
        <f>SUM(E91:E94)</f>
        <v>9801</v>
      </c>
      <c r="F95" s="55">
        <f>SUM(F91:F94)</f>
        <v>980.1</v>
      </c>
      <c r="G95" s="54"/>
    </row>
    <row r="96" spans="2:7" ht="24.95" hidden="1" customHeight="1">
      <c r="B96" s="77">
        <v>1</v>
      </c>
      <c r="C96" s="145" t="s">
        <v>317</v>
      </c>
      <c r="D96" s="106" t="s">
        <v>195</v>
      </c>
      <c r="E96" s="64">
        <v>147.72</v>
      </c>
      <c r="F96" s="65">
        <f t="shared" ref="F96:F99" si="6">E96/10</f>
        <v>14.772</v>
      </c>
      <c r="G96" s="113" t="s">
        <v>318</v>
      </c>
    </row>
    <row r="97" spans="2:7" ht="24.95" hidden="1" customHeight="1">
      <c r="B97" s="77"/>
      <c r="C97" s="316" t="s">
        <v>61</v>
      </c>
      <c r="D97" s="317"/>
      <c r="E97" s="55">
        <f>E96</f>
        <v>147.72</v>
      </c>
      <c r="F97" s="55">
        <f>F96</f>
        <v>14.772</v>
      </c>
      <c r="G97" s="54"/>
    </row>
    <row r="98" spans="2:7" ht="24.95" hidden="1" customHeight="1">
      <c r="B98" s="77"/>
      <c r="C98" s="145"/>
      <c r="D98" s="106"/>
      <c r="E98" s="64"/>
      <c r="F98" s="65"/>
      <c r="G98" s="113"/>
    </row>
    <row r="99" spans="2:7" ht="24.95" hidden="1" customHeight="1">
      <c r="B99" s="77">
        <v>1</v>
      </c>
      <c r="C99" s="145" t="s">
        <v>319</v>
      </c>
      <c r="D99" s="106" t="s">
        <v>252</v>
      </c>
      <c r="E99" s="64">
        <v>35851.410000000003</v>
      </c>
      <c r="F99" s="65">
        <f t="shared" si="6"/>
        <v>3585.1410000000005</v>
      </c>
      <c r="G99" s="113" t="s">
        <v>320</v>
      </c>
    </row>
    <row r="100" spans="2:7" ht="24.95" hidden="1" customHeight="1">
      <c r="B100" s="47"/>
      <c r="C100" s="316" t="s">
        <v>61</v>
      </c>
      <c r="D100" s="317"/>
      <c r="E100" s="55">
        <f>E99</f>
        <v>35851.410000000003</v>
      </c>
      <c r="F100" s="55">
        <f>F99</f>
        <v>3585.1410000000005</v>
      </c>
      <c r="G100" s="54"/>
    </row>
    <row r="101" spans="2:7" ht="24.95" hidden="1" customHeight="1">
      <c r="B101" s="49"/>
      <c r="C101" s="318" t="s">
        <v>124</v>
      </c>
      <c r="D101" s="319"/>
      <c r="E101" s="50">
        <f>E100+E95+E97</f>
        <v>45800.130000000005</v>
      </c>
      <c r="F101" s="50">
        <f>F100+F95+F97</f>
        <v>4580.0130000000008</v>
      </c>
      <c r="G101" s="50"/>
    </row>
    <row r="102" spans="2:7" ht="24.95" hidden="1" customHeight="1"/>
    <row r="104" spans="2:7" ht="24.95" customHeight="1">
      <c r="B104" s="313" t="s">
        <v>1069</v>
      </c>
      <c r="C104" s="314"/>
      <c r="D104" s="314"/>
      <c r="E104" s="314"/>
      <c r="F104" s="314"/>
      <c r="G104" s="315"/>
    </row>
    <row r="105" spans="2:7" ht="24.95" customHeight="1">
      <c r="B105" s="48" t="s">
        <v>66</v>
      </c>
      <c r="C105" s="48" t="s">
        <v>120</v>
      </c>
      <c r="D105" s="51" t="s">
        <v>121</v>
      </c>
      <c r="E105" s="51" t="s">
        <v>122</v>
      </c>
      <c r="F105" s="52" t="s">
        <v>269</v>
      </c>
      <c r="G105" s="53" t="s">
        <v>123</v>
      </c>
    </row>
    <row r="106" spans="2:7" ht="24.95" customHeight="1">
      <c r="B106" s="77">
        <v>1</v>
      </c>
      <c r="C106" s="105" t="s">
        <v>1070</v>
      </c>
      <c r="D106" s="106" t="s">
        <v>289</v>
      </c>
      <c r="E106" s="64">
        <v>10550</v>
      </c>
      <c r="F106" s="65">
        <f>E106/10</f>
        <v>1055</v>
      </c>
      <c r="G106" s="113" t="s">
        <v>1071</v>
      </c>
    </row>
    <row r="107" spans="2:7" ht="24.95" customHeight="1">
      <c r="B107" s="47"/>
      <c r="C107" s="316" t="s">
        <v>61</v>
      </c>
      <c r="D107" s="317"/>
      <c r="E107" s="55">
        <f>SUM(E106:E106)</f>
        <v>10550</v>
      </c>
      <c r="F107" s="55">
        <f>SUM(F106:F106)</f>
        <v>1055</v>
      </c>
      <c r="G107" s="54"/>
    </row>
    <row r="108" spans="2:7" ht="24.95" customHeight="1">
      <c r="B108" s="77">
        <v>1</v>
      </c>
      <c r="C108" s="145" t="s">
        <v>1072</v>
      </c>
      <c r="D108" s="106" t="s">
        <v>195</v>
      </c>
      <c r="E108" s="64">
        <v>450</v>
      </c>
      <c r="F108" s="65">
        <f t="shared" ref="F108" si="7">E108/10</f>
        <v>45</v>
      </c>
      <c r="G108" s="113" t="s">
        <v>1073</v>
      </c>
    </row>
    <row r="109" spans="2:7" ht="24.95" customHeight="1">
      <c r="B109" s="77"/>
      <c r="C109" s="145" t="s">
        <v>1074</v>
      </c>
      <c r="D109" s="106" t="s">
        <v>195</v>
      </c>
      <c r="E109" s="64">
        <v>2358.16</v>
      </c>
      <c r="F109" s="65">
        <f t="shared" ref="F109:F110" si="8">E109/10</f>
        <v>235.81599999999997</v>
      </c>
      <c r="G109" s="113" t="s">
        <v>1077</v>
      </c>
    </row>
    <row r="110" spans="2:7" ht="24.95" customHeight="1">
      <c r="B110" s="77"/>
      <c r="C110" s="145" t="s">
        <v>633</v>
      </c>
      <c r="D110" s="106" t="s">
        <v>195</v>
      </c>
      <c r="E110" s="64">
        <v>542.67999999999995</v>
      </c>
      <c r="F110" s="65">
        <f t="shared" si="8"/>
        <v>54.267999999999994</v>
      </c>
      <c r="G110" s="113" t="s">
        <v>1071</v>
      </c>
    </row>
    <row r="111" spans="2:7" ht="24.95" customHeight="1">
      <c r="B111" s="77"/>
      <c r="C111" s="316" t="s">
        <v>61</v>
      </c>
      <c r="D111" s="317"/>
      <c r="E111" s="55">
        <f>E108</f>
        <v>450</v>
      </c>
      <c r="F111" s="55">
        <f>F108</f>
        <v>45</v>
      </c>
      <c r="G111" s="54"/>
    </row>
    <row r="112" spans="2:7" ht="24.95" customHeight="1">
      <c r="B112" s="77">
        <v>1</v>
      </c>
      <c r="C112" s="145" t="s">
        <v>1075</v>
      </c>
      <c r="D112" s="106" t="s">
        <v>252</v>
      </c>
      <c r="E112" s="64">
        <v>887</v>
      </c>
      <c r="F112" s="65">
        <f t="shared" ref="F112" si="9">E112/10</f>
        <v>88.7</v>
      </c>
      <c r="G112" s="113" t="s">
        <v>1073</v>
      </c>
    </row>
    <row r="113" spans="2:7" ht="24.95" customHeight="1">
      <c r="B113" s="77"/>
      <c r="C113" s="145" t="s">
        <v>1076</v>
      </c>
      <c r="D113" s="106" t="s">
        <v>252</v>
      </c>
      <c r="E113" s="64">
        <v>1012.5</v>
      </c>
      <c r="F113" s="65">
        <f t="shared" ref="F113:F114" si="10">E113/10</f>
        <v>101.25</v>
      </c>
      <c r="G113" s="113" t="s">
        <v>1077</v>
      </c>
    </row>
    <row r="114" spans="2:7" ht="24.95" customHeight="1">
      <c r="B114" s="77"/>
      <c r="C114" s="145" t="s">
        <v>1078</v>
      </c>
      <c r="D114" s="106" t="s">
        <v>252</v>
      </c>
      <c r="E114" s="64">
        <v>745.18</v>
      </c>
      <c r="F114" s="65">
        <f t="shared" si="10"/>
        <v>74.518000000000001</v>
      </c>
      <c r="G114" s="113" t="s">
        <v>1071</v>
      </c>
    </row>
    <row r="115" spans="2:7" ht="24.95" customHeight="1">
      <c r="B115" s="47"/>
      <c r="C115" s="316" t="s">
        <v>61</v>
      </c>
      <c r="D115" s="317"/>
      <c r="E115" s="55">
        <f>E112</f>
        <v>887</v>
      </c>
      <c r="F115" s="55">
        <f>F112</f>
        <v>88.7</v>
      </c>
      <c r="G115" s="54"/>
    </row>
    <row r="116" spans="2:7" ht="24.95" customHeight="1">
      <c r="B116" s="77">
        <v>1</v>
      </c>
      <c r="C116" s="145" t="s">
        <v>1079</v>
      </c>
      <c r="D116" s="106" t="s">
        <v>1008</v>
      </c>
      <c r="E116" s="64">
        <v>600</v>
      </c>
      <c r="F116" s="65">
        <f>E116/1</f>
        <v>600</v>
      </c>
      <c r="G116" s="113" t="s">
        <v>1080</v>
      </c>
    </row>
    <row r="117" spans="2:7" ht="24.95" customHeight="1">
      <c r="B117" s="77"/>
      <c r="C117" s="200"/>
      <c r="D117" s="201"/>
      <c r="E117" s="64"/>
      <c r="F117" s="65"/>
      <c r="G117" s="113"/>
    </row>
    <row r="118" spans="2:7" ht="24.95" customHeight="1">
      <c r="B118" s="49"/>
      <c r="C118" s="318" t="s">
        <v>124</v>
      </c>
      <c r="D118" s="319"/>
      <c r="E118" s="50">
        <f>E115+E107+E111</f>
        <v>11887</v>
      </c>
      <c r="F118" s="50">
        <v>1788.7</v>
      </c>
      <c r="G118" s="50"/>
    </row>
    <row r="119" spans="2:7" ht="24.95" customHeight="1"/>
    <row r="120" spans="2:7" ht="24.95" customHeight="1"/>
    <row r="121" spans="2:7" ht="24.95" customHeight="1"/>
  </sheetData>
  <mergeCells count="27">
    <mergeCell ref="A1:K1"/>
    <mergeCell ref="A2:K2"/>
    <mergeCell ref="A3:K3"/>
    <mergeCell ref="A4:K4"/>
    <mergeCell ref="B5:B7"/>
    <mergeCell ref="C5:C7"/>
    <mergeCell ref="D5:E5"/>
    <mergeCell ref="F5:G5"/>
    <mergeCell ref="I5:J5"/>
    <mergeCell ref="B46:G46"/>
    <mergeCell ref="C64:D64"/>
    <mergeCell ref="C65:D65"/>
    <mergeCell ref="C61:D61"/>
    <mergeCell ref="C78:D78"/>
    <mergeCell ref="B89:G89"/>
    <mergeCell ref="C95:D95"/>
    <mergeCell ref="C100:D100"/>
    <mergeCell ref="C101:D101"/>
    <mergeCell ref="B69:G69"/>
    <mergeCell ref="C84:D84"/>
    <mergeCell ref="C85:D85"/>
    <mergeCell ref="C97:D97"/>
    <mergeCell ref="B104:G104"/>
    <mergeCell ref="C107:D107"/>
    <mergeCell ref="C111:D111"/>
    <mergeCell ref="C115:D115"/>
    <mergeCell ref="C118:D118"/>
  </mergeCells>
  <printOptions gridLinesSet="0"/>
  <pageMargins left="0.51" right="0.2" top="0.56999999999999995" bottom="0.49" header="0.28000000000000003" footer="0.2"/>
  <pageSetup scale="80" firstPageNumber="3" orientation="landscape" useFirstPageNumber="1" r:id="rId1"/>
  <headerFooter alignWithMargins="0">
    <oddHeader>&amp;LTable 1.2</oddHeader>
    <oddFooter>&amp;RPage &amp;P</oddFooter>
  </headerFooter>
</worksheet>
</file>

<file path=xl/worksheets/sheet4.xml><?xml version="1.0" encoding="utf-8"?>
<worksheet xmlns="http://schemas.openxmlformats.org/spreadsheetml/2006/main" xmlns:r="http://schemas.openxmlformats.org/officeDocument/2006/relationships">
  <sheetPr codeName="Sheet4"/>
  <dimension ref="A1:K210"/>
  <sheetViews>
    <sheetView showGridLines="0" workbookViewId="0">
      <selection activeCell="B19" sqref="B19:J19"/>
    </sheetView>
  </sheetViews>
  <sheetFormatPr defaultColWidth="9.140625" defaultRowHeight="15" customHeight="1"/>
  <cols>
    <col min="1" max="1" width="4.140625" style="84" bestFit="1" customWidth="1"/>
    <col min="2" max="2" width="40.42578125" style="84" bestFit="1" customWidth="1"/>
    <col min="3" max="3" width="13.7109375" style="84" bestFit="1" customWidth="1"/>
    <col min="4" max="4" width="12" style="84" customWidth="1"/>
    <col min="5" max="5" width="10.5703125" style="84" customWidth="1"/>
    <col min="6" max="6" width="11.140625" style="84" customWidth="1"/>
    <col min="7" max="7" width="10.140625" style="84" customWidth="1"/>
    <col min="8" max="9" width="9.42578125" style="84" customWidth="1"/>
    <col min="10" max="16384" width="9.140625" style="84"/>
  </cols>
  <sheetData>
    <row r="1" spans="1:10" s="15" customFormat="1" ht="25.5" customHeight="1">
      <c r="A1" s="333" t="s">
        <v>24</v>
      </c>
      <c r="B1" s="333"/>
      <c r="C1" s="333"/>
      <c r="D1" s="333"/>
      <c r="E1" s="333"/>
      <c r="F1" s="333"/>
      <c r="G1" s="333"/>
      <c r="H1" s="333"/>
      <c r="I1" s="333"/>
      <c r="J1" s="333"/>
    </row>
    <row r="2" spans="1:10" s="15" customFormat="1" ht="22.5" customHeight="1">
      <c r="A2" s="334" t="s">
        <v>1047</v>
      </c>
      <c r="B2" s="334"/>
      <c r="C2" s="334"/>
      <c r="D2" s="334"/>
      <c r="E2" s="334"/>
      <c r="F2" s="334"/>
      <c r="G2" s="334"/>
      <c r="H2" s="334"/>
      <c r="I2" s="334"/>
      <c r="J2" s="334"/>
    </row>
    <row r="3" spans="1:10" s="15" customFormat="1" ht="24.75" customHeight="1">
      <c r="A3" s="335" t="s">
        <v>1048</v>
      </c>
      <c r="B3" s="335"/>
      <c r="C3" s="335"/>
      <c r="D3" s="335"/>
      <c r="E3" s="335"/>
      <c r="F3" s="335"/>
      <c r="G3" s="335"/>
      <c r="H3" s="335"/>
      <c r="I3" s="335"/>
      <c r="J3" s="335"/>
    </row>
    <row r="4" spans="1:10" ht="24" customHeight="1">
      <c r="A4" s="81"/>
      <c r="B4" s="71" t="s">
        <v>60</v>
      </c>
      <c r="C4" s="337"/>
      <c r="D4" s="337"/>
      <c r="E4" s="337"/>
      <c r="F4" s="82"/>
      <c r="G4" s="82"/>
      <c r="H4" s="83"/>
      <c r="I4" s="83"/>
      <c r="J4" s="67"/>
    </row>
    <row r="5" spans="1:10" ht="15" customHeight="1">
      <c r="A5" s="328"/>
      <c r="B5" s="332" t="s">
        <v>26</v>
      </c>
      <c r="C5" s="13" t="s">
        <v>76</v>
      </c>
      <c r="D5" s="13" t="s">
        <v>25</v>
      </c>
      <c r="E5" s="13" t="s">
        <v>106</v>
      </c>
      <c r="F5" s="13"/>
      <c r="G5" s="13"/>
      <c r="H5" s="13"/>
      <c r="I5" s="13"/>
      <c r="J5" s="13" t="s">
        <v>5</v>
      </c>
    </row>
    <row r="6" spans="1:10" ht="15" customHeight="1">
      <c r="A6" s="328"/>
      <c r="B6" s="330"/>
      <c r="C6" s="13" t="s">
        <v>27</v>
      </c>
      <c r="D6" s="13" t="s">
        <v>103</v>
      </c>
      <c r="E6" s="13" t="s">
        <v>107</v>
      </c>
      <c r="F6" s="13" t="s">
        <v>21</v>
      </c>
      <c r="G6" s="13" t="s">
        <v>22</v>
      </c>
      <c r="H6" s="13" t="s">
        <v>23</v>
      </c>
      <c r="I6" s="13" t="s">
        <v>92</v>
      </c>
      <c r="J6" s="39" t="s">
        <v>142</v>
      </c>
    </row>
    <row r="7" spans="1:10" ht="15" customHeight="1">
      <c r="A7" s="329"/>
      <c r="B7" s="336"/>
      <c r="C7" s="109" t="s">
        <v>28</v>
      </c>
      <c r="D7" s="109" t="s">
        <v>104</v>
      </c>
      <c r="E7" s="109" t="s">
        <v>94</v>
      </c>
      <c r="F7" s="108"/>
      <c r="G7" s="108"/>
      <c r="H7" s="108"/>
      <c r="I7" s="13" t="s">
        <v>83</v>
      </c>
      <c r="J7" s="108"/>
    </row>
    <row r="8" spans="1:10" s="86" customFormat="1" ht="15" customHeight="1">
      <c r="A8" s="85">
        <v>1</v>
      </c>
      <c r="B8" s="127" t="s">
        <v>150</v>
      </c>
      <c r="C8" s="127">
        <v>530.36</v>
      </c>
      <c r="D8" s="127">
        <v>251.108</v>
      </c>
      <c r="E8" s="127">
        <v>2937</v>
      </c>
      <c r="F8" s="127">
        <v>518</v>
      </c>
      <c r="G8" s="127">
        <v>416</v>
      </c>
      <c r="H8" s="127">
        <v>501</v>
      </c>
      <c r="I8" s="127">
        <v>473.47</v>
      </c>
      <c r="J8" s="127">
        <v>19</v>
      </c>
    </row>
    <row r="9" spans="1:10" s="86" customFormat="1" ht="15" customHeight="1">
      <c r="A9" s="85">
        <v>2</v>
      </c>
      <c r="B9" s="127" t="s">
        <v>4</v>
      </c>
      <c r="C9" s="127">
        <v>318.77</v>
      </c>
      <c r="D9" s="127">
        <v>213.82</v>
      </c>
      <c r="E9" s="127">
        <v>1084</v>
      </c>
      <c r="F9" s="127">
        <v>742</v>
      </c>
      <c r="G9" s="127">
        <v>618</v>
      </c>
      <c r="H9" s="127">
        <v>644</v>
      </c>
      <c r="I9" s="127">
        <v>670.76</v>
      </c>
      <c r="J9" s="127">
        <v>19</v>
      </c>
    </row>
    <row r="10" spans="1:10" s="86" customFormat="1" ht="15" customHeight="1">
      <c r="A10" s="85">
        <v>3</v>
      </c>
      <c r="B10" s="127" t="s">
        <v>1018</v>
      </c>
      <c r="C10" s="127">
        <v>255.12</v>
      </c>
      <c r="D10" s="127">
        <v>115.13</v>
      </c>
      <c r="E10" s="127">
        <v>1130</v>
      </c>
      <c r="F10" s="127">
        <v>502</v>
      </c>
      <c r="G10" s="127">
        <v>400</v>
      </c>
      <c r="H10" s="127">
        <v>453</v>
      </c>
      <c r="I10" s="127">
        <v>451.28</v>
      </c>
      <c r="J10" s="127">
        <v>19</v>
      </c>
    </row>
    <row r="11" spans="1:10" s="86" customFormat="1" ht="15" customHeight="1">
      <c r="A11" s="85">
        <v>4</v>
      </c>
      <c r="B11" s="127" t="s">
        <v>32</v>
      </c>
      <c r="C11" s="127">
        <v>106.72</v>
      </c>
      <c r="D11" s="127">
        <v>238.78100000000001</v>
      </c>
      <c r="E11" s="127">
        <v>677</v>
      </c>
      <c r="F11" s="127">
        <v>2360</v>
      </c>
      <c r="G11" s="127">
        <v>2055</v>
      </c>
      <c r="H11" s="127">
        <v>2210</v>
      </c>
      <c r="I11" s="127">
        <v>2237.52</v>
      </c>
      <c r="J11" s="127">
        <v>19</v>
      </c>
    </row>
    <row r="12" spans="1:10" s="86" customFormat="1" ht="15" customHeight="1">
      <c r="A12" s="85">
        <v>5</v>
      </c>
      <c r="B12" s="127" t="s">
        <v>1019</v>
      </c>
      <c r="C12" s="127">
        <v>314.38</v>
      </c>
      <c r="D12" s="127">
        <v>100.71</v>
      </c>
      <c r="E12" s="127">
        <v>818</v>
      </c>
      <c r="F12" s="127">
        <v>360</v>
      </c>
      <c r="G12" s="127">
        <v>285</v>
      </c>
      <c r="H12" s="127">
        <v>304</v>
      </c>
      <c r="I12" s="127">
        <v>320.35000000000002</v>
      </c>
      <c r="J12" s="127">
        <v>19</v>
      </c>
    </row>
    <row r="13" spans="1:10" s="86" customFormat="1" ht="15" customHeight="1">
      <c r="A13" s="85">
        <v>6</v>
      </c>
      <c r="B13" s="127" t="s">
        <v>30</v>
      </c>
      <c r="C13" s="127">
        <v>80.77</v>
      </c>
      <c r="D13" s="127">
        <v>72.364999999999995</v>
      </c>
      <c r="E13" s="127">
        <v>377</v>
      </c>
      <c r="F13" s="127">
        <v>973</v>
      </c>
      <c r="G13" s="127">
        <v>840</v>
      </c>
      <c r="H13" s="127">
        <v>890</v>
      </c>
      <c r="I13" s="127">
        <v>895.96</v>
      </c>
      <c r="J13" s="127">
        <v>19</v>
      </c>
    </row>
    <row r="14" spans="1:10" s="86" customFormat="1" ht="15" customHeight="1">
      <c r="A14" s="85">
        <v>7</v>
      </c>
      <c r="B14" s="127" t="s">
        <v>1020</v>
      </c>
      <c r="C14" s="127">
        <v>289.19</v>
      </c>
      <c r="D14" s="127">
        <v>89.55</v>
      </c>
      <c r="E14" s="127">
        <v>833</v>
      </c>
      <c r="F14" s="127">
        <v>350</v>
      </c>
      <c r="G14" s="127">
        <v>276</v>
      </c>
      <c r="H14" s="127">
        <v>302</v>
      </c>
      <c r="I14" s="127">
        <v>309.66000000000003</v>
      </c>
      <c r="J14" s="127">
        <v>19</v>
      </c>
    </row>
    <row r="15" spans="1:10" s="86" customFormat="1" ht="15" customHeight="1">
      <c r="A15" s="85">
        <v>8</v>
      </c>
      <c r="B15" s="127" t="s">
        <v>84</v>
      </c>
      <c r="C15" s="127">
        <v>779.61</v>
      </c>
      <c r="D15" s="127">
        <v>408.40699999999998</v>
      </c>
      <c r="E15" s="127">
        <v>1622</v>
      </c>
      <c r="F15" s="127">
        <v>593</v>
      </c>
      <c r="G15" s="127">
        <v>463</v>
      </c>
      <c r="H15" s="127">
        <v>579</v>
      </c>
      <c r="I15" s="127">
        <v>523.86</v>
      </c>
      <c r="J15" s="127">
        <v>19</v>
      </c>
    </row>
    <row r="16" spans="1:10" s="86" customFormat="1" ht="15" customHeight="1">
      <c r="A16" s="85">
        <v>9</v>
      </c>
      <c r="B16" s="127" t="s">
        <v>355</v>
      </c>
      <c r="C16" s="127">
        <v>888.89</v>
      </c>
      <c r="D16" s="127">
        <v>219.49199999999999</v>
      </c>
      <c r="E16" s="127">
        <v>1276</v>
      </c>
      <c r="F16" s="127">
        <v>267</v>
      </c>
      <c r="G16" s="127">
        <v>221</v>
      </c>
      <c r="H16" s="127">
        <v>234</v>
      </c>
      <c r="I16" s="127">
        <v>246.93</v>
      </c>
      <c r="J16" s="127">
        <v>19</v>
      </c>
    </row>
    <row r="17" spans="1:10" s="86" customFormat="1" ht="15" customHeight="1">
      <c r="A17" s="85">
        <v>10</v>
      </c>
      <c r="B17" s="127" t="s">
        <v>152</v>
      </c>
      <c r="C17" s="127">
        <v>262.52</v>
      </c>
      <c r="D17" s="127">
        <v>140.41300000000001</v>
      </c>
      <c r="E17" s="127">
        <v>700</v>
      </c>
      <c r="F17" s="127">
        <v>584</v>
      </c>
      <c r="G17" s="127">
        <v>488</v>
      </c>
      <c r="H17" s="127">
        <v>522</v>
      </c>
      <c r="I17" s="127">
        <v>534.87</v>
      </c>
      <c r="J17" s="127">
        <v>19</v>
      </c>
    </row>
    <row r="18" spans="1:10" s="86" customFormat="1" ht="15" customHeight="1">
      <c r="A18" s="85">
        <v>11</v>
      </c>
      <c r="B18" s="127" t="s">
        <v>194</v>
      </c>
      <c r="C18" s="127">
        <v>539.49</v>
      </c>
      <c r="D18" s="127">
        <v>231.52099999999999</v>
      </c>
      <c r="E18" s="127">
        <v>1141</v>
      </c>
      <c r="F18" s="127">
        <v>484</v>
      </c>
      <c r="G18" s="127">
        <v>368</v>
      </c>
      <c r="H18" s="127">
        <v>480</v>
      </c>
      <c r="I18" s="127">
        <v>429.15</v>
      </c>
      <c r="J18" s="127">
        <v>19</v>
      </c>
    </row>
    <row r="19" spans="1:10" s="86" customFormat="1" ht="15" customHeight="1">
      <c r="A19" s="85">
        <v>12</v>
      </c>
      <c r="B19" s="127" t="s">
        <v>286</v>
      </c>
      <c r="C19" s="127">
        <v>326.29000000000002</v>
      </c>
      <c r="D19" s="127">
        <v>136.84700000000001</v>
      </c>
      <c r="E19" s="127">
        <v>3063</v>
      </c>
      <c r="F19" s="127">
        <v>475</v>
      </c>
      <c r="G19" s="127">
        <v>367</v>
      </c>
      <c r="H19" s="127">
        <v>444</v>
      </c>
      <c r="I19" s="127">
        <v>419.41</v>
      </c>
      <c r="J19" s="127">
        <v>19</v>
      </c>
    </row>
    <row r="20" spans="1:10" s="86" customFormat="1" ht="15" customHeight="1">
      <c r="A20" s="85">
        <v>13</v>
      </c>
      <c r="B20" s="127" t="s">
        <v>35</v>
      </c>
      <c r="C20" s="127">
        <v>53.55</v>
      </c>
      <c r="D20" s="127">
        <v>117.601</v>
      </c>
      <c r="E20" s="127">
        <v>308</v>
      </c>
      <c r="F20" s="127">
        <v>2410</v>
      </c>
      <c r="G20" s="127">
        <v>2070</v>
      </c>
      <c r="H20" s="127">
        <v>2220</v>
      </c>
      <c r="I20" s="127">
        <v>2195.94</v>
      </c>
      <c r="J20" s="127">
        <v>19</v>
      </c>
    </row>
    <row r="21" spans="1:10" s="86" customFormat="1" ht="15" customHeight="1">
      <c r="A21" s="85">
        <v>14</v>
      </c>
      <c r="B21" s="127" t="s">
        <v>163</v>
      </c>
      <c r="C21" s="127">
        <v>1099.3900000000001</v>
      </c>
      <c r="D21" s="127">
        <v>699.65899999999999</v>
      </c>
      <c r="E21" s="127">
        <v>2184</v>
      </c>
      <c r="F21" s="127">
        <v>699</v>
      </c>
      <c r="G21" s="127">
        <v>574</v>
      </c>
      <c r="H21" s="127">
        <v>625</v>
      </c>
      <c r="I21" s="127">
        <v>636.41</v>
      </c>
      <c r="J21" s="127">
        <v>19</v>
      </c>
    </row>
    <row r="22" spans="1:10" s="86" customFormat="1" ht="15" customHeight="1">
      <c r="A22" s="85">
        <v>15</v>
      </c>
      <c r="B22" s="127" t="s">
        <v>1016</v>
      </c>
      <c r="C22" s="127">
        <v>1624.74</v>
      </c>
      <c r="D22" s="127">
        <v>571.35900000000004</v>
      </c>
      <c r="E22" s="127">
        <v>1684</v>
      </c>
      <c r="F22" s="127">
        <v>381</v>
      </c>
      <c r="G22" s="127">
        <v>302</v>
      </c>
      <c r="H22" s="127">
        <v>356</v>
      </c>
      <c r="I22" s="127">
        <v>351.66</v>
      </c>
      <c r="J22" s="127">
        <v>19</v>
      </c>
    </row>
    <row r="23" spans="1:10" s="86" customFormat="1" ht="15" customHeight="1">
      <c r="A23" s="85">
        <v>16</v>
      </c>
      <c r="B23" s="127" t="s">
        <v>182</v>
      </c>
      <c r="C23" s="127">
        <v>732.86</v>
      </c>
      <c r="D23" s="127">
        <v>308.21499999999997</v>
      </c>
      <c r="E23" s="127">
        <v>1472</v>
      </c>
      <c r="F23" s="127">
        <v>495</v>
      </c>
      <c r="G23" s="127">
        <v>380</v>
      </c>
      <c r="H23" s="127">
        <v>418</v>
      </c>
      <c r="I23" s="127">
        <v>420.56</v>
      </c>
      <c r="J23" s="127">
        <v>19</v>
      </c>
    </row>
    <row r="24" spans="1:10" s="86" customFormat="1" ht="15" customHeight="1">
      <c r="A24" s="85">
        <v>17</v>
      </c>
      <c r="B24" s="127" t="s">
        <v>34</v>
      </c>
      <c r="C24" s="127">
        <v>131.46</v>
      </c>
      <c r="D24" s="127">
        <v>132.59</v>
      </c>
      <c r="E24" s="127">
        <v>533</v>
      </c>
      <c r="F24" s="127">
        <v>1085</v>
      </c>
      <c r="G24" s="127">
        <v>914</v>
      </c>
      <c r="H24" s="127">
        <v>1010</v>
      </c>
      <c r="I24" s="127">
        <v>1008.61</v>
      </c>
      <c r="J24" s="127">
        <v>19</v>
      </c>
    </row>
    <row r="25" spans="1:10" s="86" customFormat="1" ht="15" customHeight="1">
      <c r="A25" s="85">
        <v>18</v>
      </c>
      <c r="B25" s="127" t="s">
        <v>239</v>
      </c>
      <c r="C25" s="127">
        <v>420.08</v>
      </c>
      <c r="D25" s="127">
        <v>344.66399999999999</v>
      </c>
      <c r="E25" s="127">
        <v>1742</v>
      </c>
      <c r="F25" s="127">
        <v>900</v>
      </c>
      <c r="G25" s="127">
        <v>756</v>
      </c>
      <c r="H25" s="127">
        <v>814</v>
      </c>
      <c r="I25" s="127">
        <v>820.48</v>
      </c>
      <c r="J25" s="127">
        <v>19</v>
      </c>
    </row>
    <row r="26" spans="1:10" s="86" customFormat="1" ht="15" customHeight="1">
      <c r="A26" s="85">
        <v>19</v>
      </c>
      <c r="B26" s="127" t="s">
        <v>119</v>
      </c>
      <c r="C26" s="127">
        <v>128.19</v>
      </c>
      <c r="D26" s="127">
        <v>53.933</v>
      </c>
      <c r="E26" s="127">
        <v>375</v>
      </c>
      <c r="F26" s="127">
        <v>475</v>
      </c>
      <c r="G26" s="127">
        <v>361</v>
      </c>
      <c r="H26" s="127">
        <v>420</v>
      </c>
      <c r="I26" s="127">
        <v>420.72</v>
      </c>
      <c r="J26" s="127">
        <v>19</v>
      </c>
    </row>
    <row r="27" spans="1:10" s="86" customFormat="1" ht="15" customHeight="1">
      <c r="A27" s="85">
        <v>20</v>
      </c>
      <c r="B27" s="127" t="s">
        <v>138</v>
      </c>
      <c r="C27" s="127">
        <v>263.88</v>
      </c>
      <c r="D27" s="127">
        <v>139.67400000000001</v>
      </c>
      <c r="E27" s="127">
        <v>1213</v>
      </c>
      <c r="F27" s="127">
        <v>585</v>
      </c>
      <c r="G27" s="127">
        <v>450</v>
      </c>
      <c r="H27" s="127">
        <v>508</v>
      </c>
      <c r="I27" s="127">
        <v>529.30999999999995</v>
      </c>
      <c r="J27" s="127">
        <v>19</v>
      </c>
    </row>
    <row r="28" spans="1:10" s="86" customFormat="1" ht="15" customHeight="1">
      <c r="A28" s="85">
        <v>21</v>
      </c>
      <c r="B28" s="127" t="s">
        <v>181</v>
      </c>
      <c r="C28" s="127">
        <v>635.04999999999995</v>
      </c>
      <c r="D28" s="127">
        <v>322.709</v>
      </c>
      <c r="E28" s="127">
        <v>1189</v>
      </c>
      <c r="F28" s="127">
        <v>550</v>
      </c>
      <c r="G28" s="127">
        <v>430</v>
      </c>
      <c r="H28" s="127">
        <v>524</v>
      </c>
      <c r="I28" s="127">
        <v>508.17</v>
      </c>
      <c r="J28" s="127">
        <v>19</v>
      </c>
    </row>
    <row r="29" spans="1:10" s="86" customFormat="1" ht="15" customHeight="1">
      <c r="A29" s="85">
        <v>22</v>
      </c>
      <c r="B29" s="127" t="s">
        <v>7</v>
      </c>
      <c r="C29" s="127">
        <v>135.19</v>
      </c>
      <c r="D29" s="127">
        <v>149.547</v>
      </c>
      <c r="E29" s="127">
        <v>493</v>
      </c>
      <c r="F29" s="127">
        <v>1200</v>
      </c>
      <c r="G29" s="127">
        <v>952</v>
      </c>
      <c r="H29" s="127">
        <v>1115</v>
      </c>
      <c r="I29" s="127">
        <v>1106.18</v>
      </c>
      <c r="J29" s="127">
        <v>19</v>
      </c>
    </row>
    <row r="30" spans="1:10" s="86" customFormat="1" ht="15" customHeight="1">
      <c r="A30" s="85">
        <v>23</v>
      </c>
      <c r="B30" s="127" t="s">
        <v>39</v>
      </c>
      <c r="C30" s="127">
        <v>217.58</v>
      </c>
      <c r="D30" s="127">
        <v>140.922</v>
      </c>
      <c r="E30" s="127">
        <v>780</v>
      </c>
      <c r="F30" s="127">
        <v>731</v>
      </c>
      <c r="G30" s="127">
        <v>566</v>
      </c>
      <c r="H30" s="127">
        <v>600</v>
      </c>
      <c r="I30" s="127">
        <v>647.69000000000005</v>
      </c>
      <c r="J30" s="127">
        <v>19</v>
      </c>
    </row>
    <row r="31" spans="1:10" s="86" customFormat="1" ht="15" customHeight="1">
      <c r="A31" s="85">
        <v>24</v>
      </c>
      <c r="B31" s="127" t="s">
        <v>36</v>
      </c>
      <c r="C31" s="127">
        <v>38.29</v>
      </c>
      <c r="D31" s="127">
        <v>78.180999999999997</v>
      </c>
      <c r="E31" s="127">
        <v>325</v>
      </c>
      <c r="F31" s="127">
        <v>2175</v>
      </c>
      <c r="G31" s="127">
        <v>1925</v>
      </c>
      <c r="H31" s="127">
        <v>1951</v>
      </c>
      <c r="I31" s="127">
        <v>2041.77</v>
      </c>
      <c r="J31" s="127">
        <v>19</v>
      </c>
    </row>
    <row r="32" spans="1:10" s="86" customFormat="1" ht="15" customHeight="1">
      <c r="A32" s="85">
        <v>25</v>
      </c>
      <c r="B32" s="127" t="s">
        <v>139</v>
      </c>
      <c r="C32" s="127">
        <v>272.97000000000003</v>
      </c>
      <c r="D32" s="127">
        <v>115.94</v>
      </c>
      <c r="E32" s="127">
        <v>1288</v>
      </c>
      <c r="F32" s="127">
        <v>460</v>
      </c>
      <c r="G32" s="127">
        <v>369</v>
      </c>
      <c r="H32" s="127">
        <v>445</v>
      </c>
      <c r="I32" s="127">
        <v>424.74</v>
      </c>
      <c r="J32" s="127">
        <v>19</v>
      </c>
    </row>
    <row r="33" spans="1:11" s="86" customFormat="1" ht="15" customHeight="1">
      <c r="A33" s="243">
        <v>27</v>
      </c>
      <c r="B33" s="244" t="s">
        <v>61</v>
      </c>
      <c r="C33" s="244">
        <v>10445.34</v>
      </c>
      <c r="D33" s="244">
        <v>5393.1379999999999</v>
      </c>
      <c r="E33" s="244">
        <v>29244</v>
      </c>
      <c r="F33" s="244"/>
      <c r="G33" s="244"/>
      <c r="H33" s="244"/>
      <c r="I33" s="244"/>
      <c r="J33" s="245"/>
      <c r="K33" s="8"/>
    </row>
    <row r="34" spans="1:11" ht="15" customHeight="1">
      <c r="A34" s="12"/>
      <c r="B34" s="8"/>
      <c r="C34" s="8"/>
      <c r="D34" s="8"/>
      <c r="E34" s="8"/>
      <c r="F34" s="8"/>
      <c r="G34" s="8"/>
      <c r="H34" s="8"/>
      <c r="I34" s="8"/>
      <c r="J34" s="8"/>
      <c r="K34" s="93"/>
    </row>
    <row r="35" spans="1:11" ht="15" customHeight="1">
      <c r="A35" s="12"/>
      <c r="B35" s="8"/>
      <c r="C35" s="8"/>
      <c r="D35" s="8"/>
      <c r="E35" s="8"/>
      <c r="F35" s="8"/>
      <c r="G35" s="8"/>
      <c r="H35" s="8"/>
      <c r="I35" s="8"/>
      <c r="J35" s="8"/>
    </row>
    <row r="36" spans="1:11" ht="24.75" customHeight="1">
      <c r="A36" s="237"/>
      <c r="B36" s="238" t="s">
        <v>29</v>
      </c>
      <c r="C36" s="239"/>
      <c r="D36" s="239"/>
      <c r="E36" s="240"/>
      <c r="F36" s="240"/>
      <c r="G36" s="240"/>
      <c r="H36" s="240"/>
      <c r="I36" s="241"/>
      <c r="J36" s="242"/>
    </row>
    <row r="37" spans="1:11" ht="15" customHeight="1">
      <c r="A37" s="331"/>
      <c r="B37" s="332" t="s">
        <v>26</v>
      </c>
      <c r="C37" s="37" t="s">
        <v>76</v>
      </c>
      <c r="D37" s="37" t="s">
        <v>25</v>
      </c>
      <c r="E37" s="37" t="s">
        <v>106</v>
      </c>
      <c r="F37" s="37"/>
      <c r="G37" s="37"/>
      <c r="H37" s="37"/>
      <c r="I37" s="37"/>
      <c r="J37" s="37" t="s">
        <v>5</v>
      </c>
    </row>
    <row r="38" spans="1:11" ht="15" customHeight="1">
      <c r="A38" s="328"/>
      <c r="B38" s="330"/>
      <c r="C38" s="13" t="s">
        <v>27</v>
      </c>
      <c r="D38" s="13" t="s">
        <v>103</v>
      </c>
      <c r="E38" s="13" t="s">
        <v>107</v>
      </c>
      <c r="F38" s="13" t="s">
        <v>21</v>
      </c>
      <c r="G38" s="13" t="s">
        <v>22</v>
      </c>
      <c r="H38" s="13" t="s">
        <v>23</v>
      </c>
      <c r="I38" s="13" t="s">
        <v>92</v>
      </c>
      <c r="J38" s="39" t="s">
        <v>142</v>
      </c>
    </row>
    <row r="39" spans="1:11" ht="15" customHeight="1">
      <c r="A39" s="329"/>
      <c r="B39" s="330"/>
      <c r="C39" s="42" t="s">
        <v>28</v>
      </c>
      <c r="D39" s="42" t="s">
        <v>104</v>
      </c>
      <c r="E39" s="42" t="s">
        <v>94</v>
      </c>
      <c r="F39" s="40"/>
      <c r="G39" s="40"/>
      <c r="H39" s="40"/>
      <c r="I39" s="39" t="s">
        <v>83</v>
      </c>
      <c r="J39" s="40"/>
    </row>
    <row r="40" spans="1:11" ht="15" customHeight="1">
      <c r="A40" s="89">
        <v>1</v>
      </c>
      <c r="B40" s="230" t="s">
        <v>166</v>
      </c>
      <c r="C40" s="230">
        <v>27.11</v>
      </c>
      <c r="D40" s="230">
        <v>7.6449999999999996</v>
      </c>
      <c r="E40" s="230">
        <v>185</v>
      </c>
      <c r="F40" s="230">
        <v>330</v>
      </c>
      <c r="G40" s="230">
        <v>238</v>
      </c>
      <c r="H40" s="230">
        <v>290</v>
      </c>
      <c r="I40" s="230">
        <v>281.99</v>
      </c>
      <c r="J40" s="230">
        <v>16</v>
      </c>
      <c r="K40"/>
    </row>
    <row r="41" spans="1:11" ht="15" customHeight="1">
      <c r="A41" s="89">
        <v>2</v>
      </c>
      <c r="B41" s="230" t="s">
        <v>188</v>
      </c>
      <c r="C41" s="230">
        <v>112.87</v>
      </c>
      <c r="D41" s="230">
        <v>36.67</v>
      </c>
      <c r="E41" s="230">
        <v>52</v>
      </c>
      <c r="F41" s="230">
        <v>375</v>
      </c>
      <c r="G41" s="230">
        <v>285</v>
      </c>
      <c r="H41" s="230">
        <v>340</v>
      </c>
      <c r="I41" s="230">
        <v>324.89999999999998</v>
      </c>
      <c r="J41" s="230">
        <v>11</v>
      </c>
      <c r="K41"/>
    </row>
    <row r="42" spans="1:11" ht="15" customHeight="1">
      <c r="A42" s="89">
        <v>3</v>
      </c>
      <c r="B42" s="230" t="s">
        <v>187</v>
      </c>
      <c r="C42" s="230">
        <v>1.82</v>
      </c>
      <c r="D42" s="230">
        <v>0.217</v>
      </c>
      <c r="E42" s="230">
        <v>42</v>
      </c>
      <c r="F42" s="230">
        <v>130</v>
      </c>
      <c r="G42" s="230">
        <v>113</v>
      </c>
      <c r="H42" s="230">
        <v>130</v>
      </c>
      <c r="I42" s="230">
        <v>119.29</v>
      </c>
      <c r="J42" s="230">
        <v>10</v>
      </c>
      <c r="K42"/>
    </row>
    <row r="43" spans="1:11" ht="15" customHeight="1">
      <c r="A43" s="231"/>
      <c r="B43" s="230" t="s">
        <v>61</v>
      </c>
      <c r="C43" s="230">
        <v>141.80000000000001</v>
      </c>
      <c r="D43" s="230">
        <v>44.531999999999996</v>
      </c>
      <c r="E43" s="230">
        <v>279</v>
      </c>
      <c r="F43" s="230"/>
      <c r="G43" s="230"/>
      <c r="H43" s="230"/>
      <c r="I43" s="230"/>
      <c r="J43" s="230"/>
      <c r="K43" t="s">
        <v>3</v>
      </c>
    </row>
    <row r="44" spans="1:11" ht="15" customHeight="1">
      <c r="A44" s="14"/>
      <c r="B44" s="93"/>
      <c r="C44" s="116"/>
      <c r="D44" s="116"/>
      <c r="E44" s="117"/>
      <c r="F44" s="116"/>
      <c r="G44" s="116"/>
      <c r="H44" s="117"/>
      <c r="I44" s="118"/>
      <c r="J44" s="119"/>
    </row>
    <row r="45" spans="1:11" ht="15" customHeight="1">
      <c r="A45" s="14"/>
      <c r="B45" s="93"/>
      <c r="C45" s="116"/>
      <c r="D45" s="116"/>
      <c r="E45" s="117"/>
      <c r="F45" s="116"/>
      <c r="G45" s="116"/>
      <c r="H45" s="117"/>
      <c r="I45" s="118"/>
      <c r="J45" s="119"/>
    </row>
    <row r="46" spans="1:11" ht="19.5" customHeight="1">
      <c r="A46" s="87"/>
      <c r="B46" s="70" t="s">
        <v>99</v>
      </c>
      <c r="C46" s="68"/>
      <c r="D46" s="68"/>
      <c r="E46" s="69"/>
      <c r="F46" s="69"/>
      <c r="G46" s="69"/>
      <c r="H46" s="69"/>
      <c r="I46" s="88"/>
      <c r="J46" s="67"/>
    </row>
    <row r="47" spans="1:11" ht="15" customHeight="1">
      <c r="A47" s="328"/>
      <c r="B47" s="330" t="s">
        <v>26</v>
      </c>
      <c r="C47" s="139" t="s">
        <v>76</v>
      </c>
      <c r="D47" s="139" t="s">
        <v>25</v>
      </c>
      <c r="E47" s="139" t="s">
        <v>106</v>
      </c>
      <c r="F47" s="139"/>
      <c r="G47" s="139"/>
      <c r="H47" s="139"/>
      <c r="I47" s="139"/>
      <c r="J47" s="139" t="s">
        <v>5</v>
      </c>
    </row>
    <row r="48" spans="1:11" ht="15" customHeight="1">
      <c r="A48" s="328"/>
      <c r="B48" s="330"/>
      <c r="C48" s="13" t="s">
        <v>27</v>
      </c>
      <c r="D48" s="13" t="s">
        <v>103</v>
      </c>
      <c r="E48" s="13" t="s">
        <v>107</v>
      </c>
      <c r="F48" s="13" t="s">
        <v>21</v>
      </c>
      <c r="G48" s="13" t="s">
        <v>22</v>
      </c>
      <c r="H48" s="13" t="s">
        <v>23</v>
      </c>
      <c r="I48" s="13" t="s">
        <v>92</v>
      </c>
      <c r="J48" s="138" t="s">
        <v>142</v>
      </c>
    </row>
    <row r="49" spans="1:10" ht="15" customHeight="1">
      <c r="A49" s="329"/>
      <c r="B49" s="330"/>
      <c r="C49" s="42" t="s">
        <v>28</v>
      </c>
      <c r="D49" s="42" t="s">
        <v>104</v>
      </c>
      <c r="E49" s="42" t="s">
        <v>94</v>
      </c>
      <c r="F49" s="40"/>
      <c r="G49" s="40"/>
      <c r="H49" s="40"/>
      <c r="I49" s="138" t="s">
        <v>83</v>
      </c>
      <c r="J49" s="40"/>
    </row>
    <row r="50" spans="1:10" ht="15" customHeight="1">
      <c r="A50" s="94">
        <v>1</v>
      </c>
      <c r="B50" s="127" t="s">
        <v>217</v>
      </c>
      <c r="C50" s="127">
        <v>1723.59</v>
      </c>
      <c r="D50" s="127">
        <v>18.978000000000002</v>
      </c>
      <c r="E50" s="127">
        <v>385</v>
      </c>
      <c r="F50" s="127">
        <v>12.10000038147</v>
      </c>
      <c r="G50" s="127">
        <v>10.10000038147</v>
      </c>
      <c r="H50" s="127">
        <v>11.37</v>
      </c>
      <c r="I50" s="127">
        <v>11.01</v>
      </c>
      <c r="J50" s="127">
        <v>17</v>
      </c>
    </row>
    <row r="51" spans="1:10" ht="15" customHeight="1">
      <c r="A51" s="94">
        <v>2</v>
      </c>
      <c r="B51" s="91" t="s">
        <v>211</v>
      </c>
      <c r="C51" s="255">
        <v>1242.67</v>
      </c>
      <c r="D51" s="255">
        <v>15.055999999999999</v>
      </c>
      <c r="E51" s="256">
        <v>118</v>
      </c>
      <c r="F51" s="257">
        <v>12.75</v>
      </c>
      <c r="G51" s="258">
        <v>11.300000190735</v>
      </c>
      <c r="H51" s="259">
        <v>12</v>
      </c>
      <c r="I51" s="254">
        <v>12.12</v>
      </c>
      <c r="J51" s="136">
        <v>16</v>
      </c>
    </row>
    <row r="52" spans="1:10" ht="15" customHeight="1">
      <c r="A52" s="28"/>
      <c r="B52" s="246" t="s">
        <v>61</v>
      </c>
      <c r="C52" s="260">
        <v>2966.26</v>
      </c>
      <c r="D52" s="260">
        <v>34.033999999999999</v>
      </c>
      <c r="E52" s="261">
        <v>503</v>
      </c>
      <c r="F52" s="247"/>
      <c r="G52" s="247"/>
      <c r="H52" s="248"/>
      <c r="I52" s="249"/>
      <c r="J52" s="250"/>
    </row>
    <row r="53" spans="1:10" ht="15" customHeight="1">
      <c r="A53" s="14"/>
      <c r="B53" s="93"/>
      <c r="C53" s="116"/>
      <c r="D53" s="116"/>
      <c r="E53" s="117"/>
      <c r="F53" s="116"/>
      <c r="G53" s="116"/>
      <c r="H53" s="117"/>
      <c r="I53" s="118"/>
      <c r="J53" s="119"/>
    </row>
    <row r="54" spans="1:10" ht="15" customHeight="1">
      <c r="A54" s="87"/>
      <c r="B54" s="70" t="s">
        <v>6</v>
      </c>
      <c r="C54" s="68"/>
      <c r="D54" s="68"/>
      <c r="E54" s="69"/>
      <c r="F54" s="69"/>
      <c r="G54" s="69"/>
      <c r="H54" s="69"/>
      <c r="I54" s="88"/>
      <c r="J54" s="67"/>
    </row>
    <row r="55" spans="1:10" ht="23.25" customHeight="1">
      <c r="A55" s="328"/>
      <c r="B55" s="330" t="s">
        <v>26</v>
      </c>
      <c r="C55" s="37" t="s">
        <v>76</v>
      </c>
      <c r="D55" s="37" t="s">
        <v>25</v>
      </c>
      <c r="E55" s="37" t="s">
        <v>106</v>
      </c>
      <c r="F55" s="37"/>
      <c r="G55" s="37"/>
      <c r="H55" s="37"/>
      <c r="I55" s="37"/>
      <c r="J55" s="37" t="s">
        <v>5</v>
      </c>
    </row>
    <row r="56" spans="1:10" ht="15" customHeight="1">
      <c r="A56" s="328"/>
      <c r="B56" s="330"/>
      <c r="C56" s="13" t="s">
        <v>27</v>
      </c>
      <c r="D56" s="13" t="s">
        <v>103</v>
      </c>
      <c r="E56" s="13" t="s">
        <v>107</v>
      </c>
      <c r="F56" s="13" t="s">
        <v>21</v>
      </c>
      <c r="G56" s="13" t="s">
        <v>22</v>
      </c>
      <c r="H56" s="13" t="s">
        <v>23</v>
      </c>
      <c r="I56" s="13" t="s">
        <v>92</v>
      </c>
      <c r="J56" s="39" t="s">
        <v>142</v>
      </c>
    </row>
    <row r="57" spans="1:10" ht="15" customHeight="1">
      <c r="A57" s="329"/>
      <c r="B57" s="330"/>
      <c r="C57" s="42" t="s">
        <v>28</v>
      </c>
      <c r="D57" s="42" t="s">
        <v>104</v>
      </c>
      <c r="E57" s="42" t="s">
        <v>94</v>
      </c>
      <c r="F57" s="40"/>
      <c r="G57" s="40"/>
      <c r="H57" s="40"/>
      <c r="I57" s="39" t="s">
        <v>83</v>
      </c>
      <c r="J57" s="40"/>
    </row>
    <row r="58" spans="1:10" ht="15" customHeight="1">
      <c r="A58" s="94">
        <v>1</v>
      </c>
      <c r="B58" s="127" t="s">
        <v>1012</v>
      </c>
      <c r="C58" s="127">
        <v>98.79</v>
      </c>
      <c r="D58" s="127">
        <v>63.619</v>
      </c>
      <c r="E58" s="127">
        <v>392</v>
      </c>
      <c r="F58" s="127">
        <v>689</v>
      </c>
      <c r="G58" s="127">
        <v>612</v>
      </c>
      <c r="H58" s="127">
        <v>652</v>
      </c>
      <c r="I58" s="127">
        <v>644.01</v>
      </c>
      <c r="J58" s="127">
        <v>17</v>
      </c>
    </row>
    <row r="59" spans="1:10" ht="15" customHeight="1">
      <c r="A59" s="28"/>
      <c r="B59" s="91" t="s">
        <v>1010</v>
      </c>
      <c r="C59" s="251">
        <v>98.79</v>
      </c>
      <c r="D59" s="251">
        <v>63.619</v>
      </c>
      <c r="E59" s="252">
        <v>392</v>
      </c>
      <c r="F59" s="253" t="s">
        <v>1011</v>
      </c>
      <c r="G59" s="133" t="s">
        <v>1011</v>
      </c>
      <c r="H59" s="134" t="s">
        <v>1011</v>
      </c>
      <c r="I59" s="135" t="s">
        <v>1011</v>
      </c>
      <c r="J59" s="136" t="s">
        <v>3</v>
      </c>
    </row>
    <row r="60" spans="1:10" ht="15" customHeight="1">
      <c r="A60" s="14"/>
      <c r="B60" s="93"/>
      <c r="C60" s="116"/>
      <c r="D60" s="116"/>
      <c r="E60" s="117"/>
      <c r="F60" s="116"/>
      <c r="G60" s="116"/>
      <c r="H60" s="117"/>
      <c r="I60" s="118"/>
      <c r="J60" s="119"/>
    </row>
    <row r="62" spans="1:10" ht="15.75">
      <c r="A62" s="87"/>
      <c r="B62" s="70" t="s">
        <v>14</v>
      </c>
      <c r="C62" s="68"/>
      <c r="D62" s="68"/>
      <c r="E62" s="69"/>
      <c r="F62" s="69"/>
      <c r="G62" s="69"/>
      <c r="H62" s="69"/>
      <c r="I62" s="88"/>
      <c r="J62" s="67"/>
    </row>
    <row r="63" spans="1:10" ht="12.75">
      <c r="A63" s="328"/>
      <c r="B63" s="330" t="s">
        <v>26</v>
      </c>
      <c r="C63" s="125" t="s">
        <v>76</v>
      </c>
      <c r="D63" s="125" t="s">
        <v>25</v>
      </c>
      <c r="E63" s="125" t="s">
        <v>106</v>
      </c>
      <c r="F63" s="125"/>
      <c r="G63" s="125"/>
      <c r="H63" s="125"/>
      <c r="I63" s="125"/>
      <c r="J63" s="125" t="s">
        <v>5</v>
      </c>
    </row>
    <row r="64" spans="1:10" ht="12.75">
      <c r="A64" s="328"/>
      <c r="B64" s="330"/>
      <c r="C64" s="13" t="s">
        <v>27</v>
      </c>
      <c r="D64" s="13" t="s">
        <v>103</v>
      </c>
      <c r="E64" s="13" t="s">
        <v>107</v>
      </c>
      <c r="F64" s="13" t="s">
        <v>21</v>
      </c>
      <c r="G64" s="13" t="s">
        <v>22</v>
      </c>
      <c r="H64" s="13" t="s">
        <v>23</v>
      </c>
      <c r="I64" s="13" t="s">
        <v>92</v>
      </c>
      <c r="J64" s="124" t="s">
        <v>142</v>
      </c>
    </row>
    <row r="65" spans="1:11" ht="12.75">
      <c r="A65" s="329"/>
      <c r="B65" s="330"/>
      <c r="C65" s="42" t="s">
        <v>28</v>
      </c>
      <c r="D65" s="42" t="s">
        <v>104</v>
      </c>
      <c r="E65" s="42" t="s">
        <v>94</v>
      </c>
      <c r="F65" s="40"/>
      <c r="G65" s="40"/>
      <c r="H65" s="40"/>
      <c r="I65" s="124" t="s">
        <v>83</v>
      </c>
      <c r="J65" s="40"/>
    </row>
    <row r="66" spans="1:11" ht="12.75">
      <c r="A66" s="89">
        <v>1</v>
      </c>
      <c r="B66" s="127" t="s">
        <v>1013</v>
      </c>
      <c r="C66" s="127">
        <v>2.1</v>
      </c>
      <c r="D66" s="127">
        <v>3.7469999999999999</v>
      </c>
      <c r="E66" s="127">
        <v>3</v>
      </c>
      <c r="F66" s="127">
        <v>1785</v>
      </c>
      <c r="G66" s="127">
        <v>1751</v>
      </c>
      <c r="H66" s="127">
        <v>1751</v>
      </c>
      <c r="I66" s="127">
        <v>1784.19</v>
      </c>
      <c r="J66" s="127">
        <v>2</v>
      </c>
    </row>
    <row r="67" spans="1:11" ht="12.75">
      <c r="A67" s="89">
        <v>2</v>
      </c>
      <c r="B67" s="127" t="s">
        <v>1014</v>
      </c>
      <c r="C67" s="127">
        <v>0.1</v>
      </c>
      <c r="D67" s="127">
        <v>0.01</v>
      </c>
      <c r="E67" s="127">
        <v>1</v>
      </c>
      <c r="F67" s="127">
        <v>99</v>
      </c>
      <c r="G67" s="127">
        <v>99</v>
      </c>
      <c r="H67" s="127">
        <v>99</v>
      </c>
      <c r="I67" s="127">
        <v>99</v>
      </c>
      <c r="J67" s="127">
        <v>1</v>
      </c>
    </row>
    <row r="68" spans="1:11" ht="12.75">
      <c r="A68" s="89">
        <v>3</v>
      </c>
      <c r="B68" s="127" t="s">
        <v>1015</v>
      </c>
      <c r="C68" s="127">
        <v>0.1</v>
      </c>
      <c r="D68" s="127">
        <v>1.044</v>
      </c>
      <c r="E68" s="127">
        <v>4</v>
      </c>
      <c r="F68" s="127">
        <v>10500</v>
      </c>
      <c r="G68" s="127">
        <v>10290</v>
      </c>
      <c r="H68" s="127">
        <v>10290</v>
      </c>
      <c r="I68" s="127">
        <v>10437</v>
      </c>
      <c r="J68" s="127">
        <v>3</v>
      </c>
    </row>
    <row r="69" spans="1:11" ht="12.75">
      <c r="A69" s="28"/>
      <c r="B69" s="262" t="s">
        <v>1010</v>
      </c>
      <c r="C69" s="251">
        <v>2.2999999999999998</v>
      </c>
      <c r="D69" s="251">
        <v>4.8010000000000002</v>
      </c>
      <c r="E69" s="252">
        <v>8</v>
      </c>
      <c r="F69" s="130" t="s">
        <v>1011</v>
      </c>
      <c r="G69" s="131" t="s">
        <v>1011</v>
      </c>
      <c r="H69" s="132" t="s">
        <v>1011</v>
      </c>
      <c r="I69" s="137" t="s">
        <v>1011</v>
      </c>
      <c r="J69" s="136" t="s">
        <v>3</v>
      </c>
    </row>
    <row r="70" spans="1:11" ht="12.75">
      <c r="A70" s="14"/>
      <c r="B70" s="93"/>
      <c r="C70" s="116"/>
      <c r="D70" s="116"/>
      <c r="E70" s="117"/>
      <c r="F70" s="116"/>
      <c r="G70" s="116"/>
      <c r="H70" s="117"/>
      <c r="I70" s="126"/>
      <c r="J70" s="119"/>
    </row>
    <row r="71" spans="1:11" ht="12.75"/>
    <row r="72" spans="1:11" ht="15.75">
      <c r="A72" s="87"/>
      <c r="B72" s="70" t="s">
        <v>75</v>
      </c>
      <c r="C72" s="68"/>
      <c r="D72" s="68"/>
      <c r="E72" s="69"/>
      <c r="F72" s="69"/>
      <c r="G72" s="69"/>
      <c r="H72" s="69"/>
      <c r="I72" s="88"/>
      <c r="J72" s="67"/>
    </row>
    <row r="73" spans="1:11" ht="24" customHeight="1">
      <c r="A73" s="328"/>
      <c r="B73" s="330" t="s">
        <v>26</v>
      </c>
      <c r="C73" s="37" t="s">
        <v>76</v>
      </c>
      <c r="D73" s="37" t="s">
        <v>25</v>
      </c>
      <c r="E73" s="37" t="s">
        <v>106</v>
      </c>
      <c r="F73" s="37"/>
      <c r="G73" s="37"/>
      <c r="H73" s="37"/>
      <c r="I73" s="37"/>
      <c r="J73" s="37" t="s">
        <v>5</v>
      </c>
    </row>
    <row r="74" spans="1:11" ht="15" customHeight="1">
      <c r="A74" s="328"/>
      <c r="B74" s="330"/>
      <c r="C74" s="13" t="s">
        <v>27</v>
      </c>
      <c r="D74" s="13" t="s">
        <v>103</v>
      </c>
      <c r="E74" s="13" t="s">
        <v>107</v>
      </c>
      <c r="F74" s="13" t="s">
        <v>21</v>
      </c>
      <c r="G74" s="13" t="s">
        <v>22</v>
      </c>
      <c r="H74" s="13" t="s">
        <v>23</v>
      </c>
      <c r="I74" s="13" t="s">
        <v>92</v>
      </c>
      <c r="J74" s="39" t="s">
        <v>142</v>
      </c>
    </row>
    <row r="75" spans="1:11" ht="15" customHeight="1">
      <c r="A75" s="329"/>
      <c r="B75" s="330"/>
      <c r="C75" s="42" t="s">
        <v>28</v>
      </c>
      <c r="D75" s="42" t="s">
        <v>104</v>
      </c>
      <c r="E75" s="42" t="s">
        <v>94</v>
      </c>
      <c r="F75" s="40"/>
      <c r="G75" s="40"/>
      <c r="H75" s="40"/>
      <c r="I75" s="39" t="s">
        <v>83</v>
      </c>
      <c r="J75" s="40"/>
    </row>
    <row r="76" spans="1:11" ht="15" customHeight="1">
      <c r="A76" s="89">
        <v>1</v>
      </c>
      <c r="B76" s="127" t="s">
        <v>1049</v>
      </c>
      <c r="C76" s="127">
        <v>300.48</v>
      </c>
      <c r="D76" s="127">
        <v>169.62200000000001</v>
      </c>
      <c r="E76" s="127">
        <v>633</v>
      </c>
      <c r="F76" s="127">
        <v>610</v>
      </c>
      <c r="G76" s="127">
        <v>531</v>
      </c>
      <c r="H76" s="127">
        <v>580</v>
      </c>
      <c r="I76" s="127">
        <v>564.51</v>
      </c>
      <c r="J76" s="127">
        <v>19</v>
      </c>
    </row>
    <row r="77" spans="1:11" s="86" customFormat="1" ht="15" customHeight="1">
      <c r="A77" s="90">
        <v>2</v>
      </c>
      <c r="B77" s="127" t="s">
        <v>167</v>
      </c>
      <c r="C77" s="127">
        <v>74.75</v>
      </c>
      <c r="D77" s="127">
        <v>88.468000000000004</v>
      </c>
      <c r="E77" s="127">
        <v>207</v>
      </c>
      <c r="F77" s="127">
        <v>1320</v>
      </c>
      <c r="G77" s="127">
        <v>1090</v>
      </c>
      <c r="H77" s="127">
        <v>1320</v>
      </c>
      <c r="I77" s="127">
        <v>1183.49</v>
      </c>
      <c r="J77" s="127">
        <v>19</v>
      </c>
    </row>
    <row r="78" spans="1:11" s="86" customFormat="1" ht="15" customHeight="1">
      <c r="A78" s="90">
        <v>3</v>
      </c>
      <c r="B78" s="127" t="s">
        <v>85</v>
      </c>
      <c r="C78" s="127">
        <v>177.33</v>
      </c>
      <c r="D78" s="127">
        <v>271.548</v>
      </c>
      <c r="E78" s="127">
        <v>913</v>
      </c>
      <c r="F78" s="127">
        <v>1665</v>
      </c>
      <c r="G78" s="127">
        <v>1435</v>
      </c>
      <c r="H78" s="127">
        <v>1511</v>
      </c>
      <c r="I78" s="127">
        <v>1531.31</v>
      </c>
      <c r="J78" s="127">
        <v>19</v>
      </c>
    </row>
    <row r="79" spans="1:11" s="86" customFormat="1" ht="15" customHeight="1">
      <c r="A79" s="90">
        <v>4</v>
      </c>
      <c r="B79" s="236" t="s">
        <v>218</v>
      </c>
      <c r="C79" s="236">
        <v>207.69</v>
      </c>
      <c r="D79" s="236">
        <v>17.411000000000001</v>
      </c>
      <c r="E79" s="236">
        <v>187</v>
      </c>
      <c r="F79" s="236">
        <v>96</v>
      </c>
      <c r="G79" s="236">
        <v>77</v>
      </c>
      <c r="H79" s="236">
        <v>83</v>
      </c>
      <c r="I79" s="236">
        <v>83.83</v>
      </c>
      <c r="J79" s="236">
        <v>18</v>
      </c>
    </row>
    <row r="80" spans="1:11" s="86" customFormat="1" ht="15" customHeight="1">
      <c r="A80" s="28"/>
      <c r="B80" s="266" t="s">
        <v>61</v>
      </c>
      <c r="C80" s="266">
        <v>760.25</v>
      </c>
      <c r="D80" s="266">
        <v>547.04899999999998</v>
      </c>
      <c r="E80" s="266">
        <v>1940</v>
      </c>
      <c r="F80" s="266"/>
      <c r="G80" s="266"/>
      <c r="H80" s="266"/>
      <c r="I80" s="266"/>
      <c r="J80" s="266"/>
      <c r="K80" s="8"/>
    </row>
    <row r="81" spans="1:11" ht="15" customHeight="1">
      <c r="A81" s="93"/>
      <c r="B81" s="265"/>
      <c r="C81" s="265"/>
      <c r="D81" s="265"/>
      <c r="E81" s="265"/>
      <c r="F81" s="265"/>
      <c r="G81" s="265"/>
      <c r="H81" s="265"/>
      <c r="I81" s="265"/>
      <c r="J81" s="93"/>
      <c r="K81" s="265"/>
    </row>
    <row r="82" spans="1:11" ht="19.5" customHeight="1">
      <c r="A82" s="237"/>
      <c r="B82" s="263" t="s">
        <v>33</v>
      </c>
      <c r="C82" s="264"/>
      <c r="D82" s="264"/>
      <c r="E82" s="264"/>
      <c r="F82" s="264"/>
      <c r="G82" s="264"/>
      <c r="H82" s="264"/>
      <c r="I82" s="264"/>
      <c r="J82" s="242"/>
    </row>
    <row r="83" spans="1:11" ht="27" customHeight="1">
      <c r="A83" s="331"/>
      <c r="B83" s="330" t="s">
        <v>26</v>
      </c>
      <c r="C83" s="37" t="s">
        <v>76</v>
      </c>
      <c r="D83" s="37" t="s">
        <v>25</v>
      </c>
      <c r="E83" s="37" t="s">
        <v>106</v>
      </c>
      <c r="F83" s="37"/>
      <c r="G83" s="37"/>
      <c r="H83" s="37"/>
      <c r="I83" s="37"/>
      <c r="J83" s="37" t="s">
        <v>5</v>
      </c>
    </row>
    <row r="84" spans="1:11" ht="15" customHeight="1">
      <c r="A84" s="328"/>
      <c r="B84" s="330"/>
      <c r="C84" s="13" t="s">
        <v>27</v>
      </c>
      <c r="D84" s="13" t="s">
        <v>103</v>
      </c>
      <c r="E84" s="13" t="s">
        <v>107</v>
      </c>
      <c r="F84" s="13" t="s">
        <v>21</v>
      </c>
      <c r="G84" s="13" t="s">
        <v>22</v>
      </c>
      <c r="H84" s="13" t="s">
        <v>23</v>
      </c>
      <c r="I84" s="13" t="s">
        <v>92</v>
      </c>
      <c r="J84" s="39" t="s">
        <v>142</v>
      </c>
    </row>
    <row r="85" spans="1:11" ht="15" customHeight="1">
      <c r="A85" s="329"/>
      <c r="B85" s="330"/>
      <c r="C85" s="42" t="s">
        <v>28</v>
      </c>
      <c r="D85" s="42" t="s">
        <v>104</v>
      </c>
      <c r="E85" s="42" t="s">
        <v>94</v>
      </c>
      <c r="F85" s="40"/>
      <c r="G85" s="40"/>
      <c r="H85" s="40"/>
      <c r="I85" s="232" t="s">
        <v>83</v>
      </c>
      <c r="J85" s="233"/>
    </row>
    <row r="86" spans="1:11" s="86" customFormat="1" ht="15" customHeight="1">
      <c r="A86" s="95">
        <v>1</v>
      </c>
      <c r="B86" s="127" t="s">
        <v>1026</v>
      </c>
      <c r="C86" s="127" t="s">
        <v>1027</v>
      </c>
      <c r="D86" s="127" t="s">
        <v>1028</v>
      </c>
      <c r="E86" s="127" t="s">
        <v>1029</v>
      </c>
      <c r="F86" s="127" t="s">
        <v>21</v>
      </c>
      <c r="G86" s="127" t="s">
        <v>22</v>
      </c>
      <c r="H86" s="127" t="s">
        <v>23</v>
      </c>
      <c r="I86" s="127" t="s">
        <v>1030</v>
      </c>
      <c r="J86" s="127" t="s">
        <v>1031</v>
      </c>
    </row>
    <row r="87" spans="1:11" s="86" customFormat="1" ht="15" customHeight="1">
      <c r="A87" s="95">
        <v>2</v>
      </c>
      <c r="B87" s="127" t="s">
        <v>1021</v>
      </c>
      <c r="C87" s="127">
        <v>81.33</v>
      </c>
      <c r="D87" s="127">
        <v>35.488</v>
      </c>
      <c r="E87" s="127">
        <v>136</v>
      </c>
      <c r="F87" s="127">
        <v>507</v>
      </c>
      <c r="G87" s="127">
        <v>395</v>
      </c>
      <c r="H87" s="127">
        <v>501</v>
      </c>
      <c r="I87" s="127">
        <v>436.33</v>
      </c>
      <c r="J87" s="127">
        <v>18</v>
      </c>
    </row>
    <row r="88" spans="1:11" s="86" customFormat="1" ht="15" customHeight="1">
      <c r="A88" s="95">
        <v>3</v>
      </c>
      <c r="B88" s="127" t="s">
        <v>1022</v>
      </c>
      <c r="C88" s="127">
        <v>95.37</v>
      </c>
      <c r="D88" s="127">
        <v>62.7</v>
      </c>
      <c r="E88" s="127">
        <v>506</v>
      </c>
      <c r="F88" s="127">
        <v>719</v>
      </c>
      <c r="G88" s="127">
        <v>615</v>
      </c>
      <c r="H88" s="127">
        <v>710</v>
      </c>
      <c r="I88" s="127">
        <v>657.41</v>
      </c>
      <c r="J88" s="127">
        <v>19</v>
      </c>
    </row>
    <row r="89" spans="1:11" s="86" customFormat="1" ht="15" customHeight="1">
      <c r="A89" s="95">
        <v>4</v>
      </c>
      <c r="B89" s="127" t="s">
        <v>165</v>
      </c>
      <c r="C89" s="127">
        <v>44.33</v>
      </c>
      <c r="D89" s="127">
        <v>15.042999999999999</v>
      </c>
      <c r="E89" s="127">
        <v>228</v>
      </c>
      <c r="F89" s="127">
        <v>393</v>
      </c>
      <c r="G89" s="127">
        <v>307</v>
      </c>
      <c r="H89" s="127">
        <v>373</v>
      </c>
      <c r="I89" s="127">
        <v>339.34</v>
      </c>
      <c r="J89" s="127">
        <v>19</v>
      </c>
    </row>
    <row r="90" spans="1:11" s="86" customFormat="1" ht="15" customHeight="1">
      <c r="A90" s="95">
        <v>5</v>
      </c>
      <c r="B90" s="127" t="s">
        <v>219</v>
      </c>
      <c r="C90" s="127">
        <v>25.89</v>
      </c>
      <c r="D90" s="127">
        <v>14.954000000000001</v>
      </c>
      <c r="E90" s="127">
        <v>99</v>
      </c>
      <c r="F90" s="127">
        <v>718</v>
      </c>
      <c r="G90" s="127">
        <v>290</v>
      </c>
      <c r="H90" s="127">
        <v>318</v>
      </c>
      <c r="I90" s="127">
        <v>577.57000000000005</v>
      </c>
      <c r="J90" s="127">
        <v>14</v>
      </c>
    </row>
    <row r="91" spans="1:11" s="86" customFormat="1" ht="15" customHeight="1">
      <c r="A91" s="95">
        <v>6</v>
      </c>
      <c r="B91" s="127" t="s">
        <v>46</v>
      </c>
      <c r="C91" s="127">
        <v>40.020000000000003</v>
      </c>
      <c r="D91" s="127">
        <v>14.419</v>
      </c>
      <c r="E91" s="127">
        <v>223</v>
      </c>
      <c r="F91" s="127">
        <v>409</v>
      </c>
      <c r="G91" s="127">
        <v>308</v>
      </c>
      <c r="H91" s="127">
        <v>352</v>
      </c>
      <c r="I91" s="127">
        <v>360.27</v>
      </c>
      <c r="J91" s="127">
        <v>18</v>
      </c>
    </row>
    <row r="92" spans="1:11" s="86" customFormat="1" ht="15" customHeight="1">
      <c r="A92" s="95">
        <v>7</v>
      </c>
      <c r="B92" s="127" t="s">
        <v>87</v>
      </c>
      <c r="C92" s="127">
        <v>37.46</v>
      </c>
      <c r="D92" s="127">
        <v>92.667000000000002</v>
      </c>
      <c r="E92" s="127">
        <v>253</v>
      </c>
      <c r="F92" s="127">
        <v>2760</v>
      </c>
      <c r="G92" s="127">
        <v>1990</v>
      </c>
      <c r="H92" s="127">
        <v>2630</v>
      </c>
      <c r="I92" s="127">
        <v>2474.02</v>
      </c>
      <c r="J92" s="127">
        <v>19</v>
      </c>
    </row>
    <row r="93" spans="1:11" s="86" customFormat="1" ht="15" customHeight="1">
      <c r="A93" s="95">
        <v>8</v>
      </c>
      <c r="B93" s="127" t="s">
        <v>442</v>
      </c>
      <c r="C93" s="127">
        <v>0.86</v>
      </c>
      <c r="D93" s="127">
        <v>6.8000000000000005E-2</v>
      </c>
      <c r="E93" s="127">
        <v>7</v>
      </c>
      <c r="F93" s="127">
        <v>81</v>
      </c>
      <c r="G93" s="127">
        <v>78</v>
      </c>
      <c r="H93" s="127">
        <v>80</v>
      </c>
      <c r="I93" s="127">
        <v>79.5</v>
      </c>
      <c r="J93" s="127">
        <v>4</v>
      </c>
    </row>
    <row r="94" spans="1:11" s="86" customFormat="1" ht="15" customHeight="1">
      <c r="A94" s="95">
        <v>9</v>
      </c>
      <c r="B94" s="127" t="s">
        <v>206</v>
      </c>
      <c r="C94" s="127">
        <v>13.5</v>
      </c>
      <c r="D94" s="127">
        <v>7.1790000000000003</v>
      </c>
      <c r="E94" s="127">
        <v>33</v>
      </c>
      <c r="F94" s="127">
        <v>572</v>
      </c>
      <c r="G94" s="127">
        <v>509</v>
      </c>
      <c r="H94" s="127">
        <v>530</v>
      </c>
      <c r="I94" s="127">
        <v>531.71</v>
      </c>
      <c r="J94" s="127">
        <v>14</v>
      </c>
    </row>
    <row r="95" spans="1:11" s="86" customFormat="1" ht="15" customHeight="1">
      <c r="A95" s="95">
        <v>10</v>
      </c>
      <c r="B95" s="127" t="s">
        <v>245</v>
      </c>
      <c r="C95" s="127">
        <v>91.14</v>
      </c>
      <c r="D95" s="127">
        <v>61.31</v>
      </c>
      <c r="E95" s="127">
        <v>1349</v>
      </c>
      <c r="F95" s="127">
        <v>760</v>
      </c>
      <c r="G95" s="127">
        <v>628</v>
      </c>
      <c r="H95" s="127">
        <v>710</v>
      </c>
      <c r="I95" s="127">
        <v>672.68</v>
      </c>
      <c r="J95" s="127">
        <v>18</v>
      </c>
    </row>
    <row r="96" spans="1:11" s="86" customFormat="1" ht="15" customHeight="1">
      <c r="A96" s="95">
        <v>11</v>
      </c>
      <c r="B96" s="127" t="s">
        <v>86</v>
      </c>
      <c r="C96" s="127">
        <v>45.55</v>
      </c>
      <c r="D96" s="127">
        <v>156.755</v>
      </c>
      <c r="E96" s="127">
        <v>372</v>
      </c>
      <c r="F96" s="127">
        <v>3700</v>
      </c>
      <c r="G96" s="127">
        <v>3060</v>
      </c>
      <c r="H96" s="127">
        <v>3550</v>
      </c>
      <c r="I96" s="127">
        <v>3441.31</v>
      </c>
      <c r="J96" s="127">
        <v>19</v>
      </c>
    </row>
    <row r="97" spans="1:10" s="86" customFormat="1" ht="15" customHeight="1">
      <c r="A97" s="95">
        <v>12</v>
      </c>
      <c r="B97" s="127" t="s">
        <v>140</v>
      </c>
      <c r="C97" s="127">
        <v>135.47999999999999</v>
      </c>
      <c r="D97" s="127">
        <v>229.35400000000001</v>
      </c>
      <c r="E97" s="127">
        <v>347</v>
      </c>
      <c r="F97" s="127">
        <v>2000</v>
      </c>
      <c r="G97" s="127">
        <v>1520</v>
      </c>
      <c r="H97" s="127">
        <v>1910</v>
      </c>
      <c r="I97" s="127">
        <v>1692.86</v>
      </c>
      <c r="J97" s="127">
        <v>19</v>
      </c>
    </row>
    <row r="98" spans="1:10" s="86" customFormat="1" ht="15" customHeight="1">
      <c r="A98" s="95">
        <v>13</v>
      </c>
      <c r="B98" s="127" t="s">
        <v>193</v>
      </c>
      <c r="C98" s="127">
        <v>12.84</v>
      </c>
      <c r="D98" s="127">
        <v>4.548</v>
      </c>
      <c r="E98" s="127">
        <v>50</v>
      </c>
      <c r="F98" s="127">
        <v>465</v>
      </c>
      <c r="G98" s="127">
        <v>268</v>
      </c>
      <c r="H98" s="127">
        <v>290</v>
      </c>
      <c r="I98" s="127">
        <v>354.32</v>
      </c>
      <c r="J98" s="127">
        <v>14</v>
      </c>
    </row>
    <row r="99" spans="1:10" s="86" customFormat="1" ht="15" customHeight="1">
      <c r="A99" s="95">
        <v>14</v>
      </c>
      <c r="B99" s="127" t="s">
        <v>1023</v>
      </c>
      <c r="C99" s="127">
        <v>58.62</v>
      </c>
      <c r="D99" s="127">
        <v>32.277000000000001</v>
      </c>
      <c r="E99" s="127">
        <v>440</v>
      </c>
      <c r="F99" s="127">
        <v>632</v>
      </c>
      <c r="G99" s="127">
        <v>500</v>
      </c>
      <c r="H99" s="127">
        <v>560</v>
      </c>
      <c r="I99" s="127">
        <v>550.61</v>
      </c>
      <c r="J99" s="127">
        <v>19</v>
      </c>
    </row>
    <row r="100" spans="1:10" s="86" customFormat="1" ht="15" customHeight="1">
      <c r="A100" s="95">
        <v>15</v>
      </c>
      <c r="B100" s="127" t="s">
        <v>431</v>
      </c>
      <c r="C100" s="127">
        <v>0.93</v>
      </c>
      <c r="D100" s="127">
        <v>2.1419999999999999</v>
      </c>
      <c r="E100" s="127">
        <v>7</v>
      </c>
      <c r="F100" s="127">
        <v>2360</v>
      </c>
      <c r="G100" s="127">
        <v>2102</v>
      </c>
      <c r="H100" s="127">
        <v>2360</v>
      </c>
      <c r="I100" s="127">
        <v>2316</v>
      </c>
      <c r="J100" s="127">
        <v>4</v>
      </c>
    </row>
    <row r="101" spans="1:10" s="86" customFormat="1" ht="15" customHeight="1">
      <c r="A101" s="95">
        <v>16</v>
      </c>
      <c r="B101" s="127" t="s">
        <v>146</v>
      </c>
      <c r="C101" s="127">
        <v>37.19</v>
      </c>
      <c r="D101" s="127">
        <v>38.444000000000003</v>
      </c>
      <c r="E101" s="127">
        <v>169</v>
      </c>
      <c r="F101" s="127">
        <v>1282</v>
      </c>
      <c r="G101" s="127">
        <v>961</v>
      </c>
      <c r="H101" s="127">
        <v>1282</v>
      </c>
      <c r="I101" s="127">
        <v>1033.6199999999999</v>
      </c>
      <c r="J101" s="127">
        <v>18</v>
      </c>
    </row>
    <row r="102" spans="1:10" s="86" customFormat="1" ht="15" customHeight="1">
      <c r="A102" s="95">
        <v>17</v>
      </c>
      <c r="B102" s="127" t="s">
        <v>141</v>
      </c>
      <c r="C102" s="127">
        <v>31.23</v>
      </c>
      <c r="D102" s="127">
        <v>25.641999999999999</v>
      </c>
      <c r="E102" s="127">
        <v>142</v>
      </c>
      <c r="F102" s="127">
        <v>979</v>
      </c>
      <c r="G102" s="127">
        <v>760</v>
      </c>
      <c r="H102" s="127">
        <v>979</v>
      </c>
      <c r="I102" s="127">
        <v>821.01</v>
      </c>
      <c r="J102" s="127">
        <v>19</v>
      </c>
    </row>
    <row r="103" spans="1:10" s="86" customFormat="1" ht="15" customHeight="1">
      <c r="A103" s="95">
        <v>18</v>
      </c>
      <c r="B103" s="127" t="s">
        <v>1024</v>
      </c>
      <c r="C103" s="127">
        <v>0.33</v>
      </c>
      <c r="D103" s="127">
        <v>0.13400000000000001</v>
      </c>
      <c r="E103" s="127">
        <v>9</v>
      </c>
      <c r="F103" s="127">
        <v>418</v>
      </c>
      <c r="G103" s="127">
        <v>402</v>
      </c>
      <c r="H103" s="127">
        <v>418</v>
      </c>
      <c r="I103" s="127">
        <v>404.97</v>
      </c>
      <c r="J103" s="127">
        <v>5</v>
      </c>
    </row>
    <row r="104" spans="1:10" s="86" customFormat="1" ht="15" customHeight="1">
      <c r="A104" s="95">
        <v>19</v>
      </c>
      <c r="B104" s="127" t="s">
        <v>1025</v>
      </c>
      <c r="C104" s="127">
        <v>66.19</v>
      </c>
      <c r="D104" s="127">
        <v>27.613</v>
      </c>
      <c r="E104" s="127">
        <v>335</v>
      </c>
      <c r="F104" s="127">
        <v>455</v>
      </c>
      <c r="G104" s="127">
        <v>375</v>
      </c>
      <c r="H104" s="127">
        <v>448</v>
      </c>
      <c r="I104" s="127">
        <v>417.2</v>
      </c>
      <c r="J104" s="127">
        <v>19</v>
      </c>
    </row>
    <row r="105" spans="1:10" ht="15" customHeight="1">
      <c r="A105" s="12"/>
      <c r="B105" s="127" t="s">
        <v>233</v>
      </c>
      <c r="C105" s="127">
        <v>34.5</v>
      </c>
      <c r="D105" s="127">
        <v>10.029999999999999</v>
      </c>
      <c r="E105" s="127">
        <v>110</v>
      </c>
      <c r="F105" s="127">
        <v>310</v>
      </c>
      <c r="G105" s="127">
        <v>262</v>
      </c>
      <c r="H105" s="127">
        <v>306</v>
      </c>
      <c r="I105" s="127">
        <v>290.70999999999998</v>
      </c>
      <c r="J105" s="127">
        <v>16</v>
      </c>
    </row>
    <row r="106" spans="1:10" ht="21" customHeight="1">
      <c r="A106" s="72"/>
      <c r="B106" s="127" t="s">
        <v>61</v>
      </c>
      <c r="C106" s="127">
        <v>852.76</v>
      </c>
      <c r="D106" s="127">
        <v>830.76700000000005</v>
      </c>
      <c r="E106" s="127">
        <v>4815</v>
      </c>
      <c r="F106" s="127"/>
      <c r="G106" s="127"/>
      <c r="H106" s="127"/>
      <c r="I106" s="127"/>
      <c r="J106" s="127"/>
    </row>
    <row r="107" spans="1:10" ht="21" customHeight="1">
      <c r="A107" s="267"/>
      <c r="B107" s="265"/>
      <c r="C107" s="265"/>
      <c r="D107" s="265"/>
      <c r="E107" s="265"/>
      <c r="F107" s="265"/>
      <c r="G107" s="265"/>
      <c r="H107" s="265"/>
      <c r="I107" s="265"/>
      <c r="J107" s="265"/>
    </row>
    <row r="108" spans="1:10" ht="22.5" customHeight="1">
      <c r="A108" s="331"/>
      <c r="B108" s="332" t="s">
        <v>26</v>
      </c>
      <c r="C108" s="37" t="s">
        <v>76</v>
      </c>
      <c r="D108" s="37" t="s">
        <v>25</v>
      </c>
      <c r="E108" s="37" t="s">
        <v>106</v>
      </c>
      <c r="F108" s="37"/>
      <c r="G108" s="37"/>
      <c r="H108" s="37"/>
      <c r="I108" s="37"/>
      <c r="J108" s="37" t="s">
        <v>5</v>
      </c>
    </row>
    <row r="109" spans="1:10" ht="15" customHeight="1">
      <c r="A109" s="328"/>
      <c r="B109" s="330"/>
      <c r="C109" s="13" t="s">
        <v>27</v>
      </c>
      <c r="D109" s="13" t="s">
        <v>103</v>
      </c>
      <c r="E109" s="13" t="s">
        <v>107</v>
      </c>
      <c r="F109" s="13" t="s">
        <v>21</v>
      </c>
      <c r="G109" s="13" t="s">
        <v>22</v>
      </c>
      <c r="H109" s="13" t="s">
        <v>23</v>
      </c>
      <c r="I109" s="13" t="s">
        <v>92</v>
      </c>
      <c r="J109" s="39" t="s">
        <v>142</v>
      </c>
    </row>
    <row r="110" spans="1:10" ht="15" customHeight="1">
      <c r="A110" s="329"/>
      <c r="B110" s="336"/>
      <c r="C110" s="42" t="s">
        <v>28</v>
      </c>
      <c r="D110" s="42" t="s">
        <v>104</v>
      </c>
      <c r="E110" s="42" t="s">
        <v>94</v>
      </c>
      <c r="F110" s="40"/>
      <c r="G110" s="40"/>
      <c r="H110" s="40"/>
      <c r="I110" s="39" t="s">
        <v>83</v>
      </c>
    </row>
    <row r="111" spans="1:10" ht="15" customHeight="1">
      <c r="A111" s="92">
        <v>1</v>
      </c>
      <c r="B111" s="127" t="s">
        <v>153</v>
      </c>
      <c r="C111" s="127">
        <v>6.73</v>
      </c>
      <c r="D111" s="127">
        <v>14.308999999999999</v>
      </c>
      <c r="E111" s="127">
        <v>94</v>
      </c>
      <c r="F111" s="127">
        <v>2320</v>
      </c>
      <c r="G111" s="127">
        <v>2000</v>
      </c>
      <c r="H111" s="127">
        <v>2130</v>
      </c>
      <c r="I111" s="127">
        <v>2127.0500000000002</v>
      </c>
      <c r="J111" s="127">
        <v>16</v>
      </c>
    </row>
    <row r="112" spans="1:10" ht="15" customHeight="1">
      <c r="A112" s="92">
        <v>2</v>
      </c>
      <c r="B112" s="127" t="s">
        <v>229</v>
      </c>
      <c r="C112" s="127">
        <v>1.02</v>
      </c>
      <c r="D112" s="127">
        <v>0.114</v>
      </c>
      <c r="E112" s="127">
        <v>7</v>
      </c>
      <c r="F112" s="127">
        <v>118</v>
      </c>
      <c r="G112" s="127">
        <v>110</v>
      </c>
      <c r="H112" s="127">
        <v>118</v>
      </c>
      <c r="I112" s="127">
        <v>111.78</v>
      </c>
      <c r="J112" s="127">
        <v>5</v>
      </c>
    </row>
    <row r="113" spans="1:10" ht="15" customHeight="1">
      <c r="A113" s="92">
        <v>3</v>
      </c>
      <c r="B113" s="127" t="s">
        <v>222</v>
      </c>
      <c r="C113" s="127">
        <v>4.03</v>
      </c>
      <c r="D113" s="127">
        <v>1.05</v>
      </c>
      <c r="E113" s="127">
        <v>16</v>
      </c>
      <c r="F113" s="127">
        <v>265</v>
      </c>
      <c r="G113" s="127">
        <v>232</v>
      </c>
      <c r="H113" s="127">
        <v>262</v>
      </c>
      <c r="I113" s="127">
        <v>260.8</v>
      </c>
      <c r="J113" s="127">
        <v>8</v>
      </c>
    </row>
    <row r="114" spans="1:10" ht="15" customHeight="1">
      <c r="A114" s="92">
        <v>4</v>
      </c>
      <c r="B114" s="127" t="s">
        <v>223</v>
      </c>
      <c r="C114" s="127">
        <v>0.95</v>
      </c>
      <c r="D114" s="127">
        <v>0.129</v>
      </c>
      <c r="E114" s="127">
        <v>7</v>
      </c>
      <c r="F114" s="127">
        <v>138</v>
      </c>
      <c r="G114" s="127">
        <v>134</v>
      </c>
      <c r="H114" s="127">
        <v>134</v>
      </c>
      <c r="I114" s="127">
        <v>135.96</v>
      </c>
      <c r="J114" s="127">
        <v>5</v>
      </c>
    </row>
    <row r="115" spans="1:10" ht="15" customHeight="1">
      <c r="A115" s="92">
        <v>5</v>
      </c>
      <c r="B115" s="127" t="s">
        <v>240</v>
      </c>
      <c r="C115" s="127">
        <v>32.94</v>
      </c>
      <c r="D115" s="127">
        <v>3.7330000000000001</v>
      </c>
      <c r="E115" s="127">
        <v>226</v>
      </c>
      <c r="F115" s="127">
        <v>126</v>
      </c>
      <c r="G115" s="127">
        <v>80</v>
      </c>
      <c r="H115" s="127">
        <v>120</v>
      </c>
      <c r="I115" s="127">
        <v>113.31</v>
      </c>
      <c r="J115" s="127">
        <v>15</v>
      </c>
    </row>
    <row r="116" spans="1:10" ht="15" customHeight="1">
      <c r="A116" s="92">
        <v>6</v>
      </c>
      <c r="B116" s="127" t="s">
        <v>89</v>
      </c>
      <c r="C116" s="127">
        <v>31.91</v>
      </c>
      <c r="D116" s="127">
        <v>7.1959999999999997</v>
      </c>
      <c r="E116" s="127">
        <v>101</v>
      </c>
      <c r="F116" s="127">
        <v>233</v>
      </c>
      <c r="G116" s="127">
        <v>212</v>
      </c>
      <c r="H116" s="127">
        <v>230</v>
      </c>
      <c r="I116" s="127">
        <v>225.5</v>
      </c>
      <c r="J116" s="127">
        <v>18</v>
      </c>
    </row>
    <row r="117" spans="1:10" ht="15" customHeight="1">
      <c r="A117" s="92">
        <v>7</v>
      </c>
      <c r="B117" s="127" t="s">
        <v>196</v>
      </c>
      <c r="C117" s="127">
        <v>327.33999999999997</v>
      </c>
      <c r="D117" s="127">
        <v>73.849000000000004</v>
      </c>
      <c r="E117" s="127">
        <v>384</v>
      </c>
      <c r="F117" s="127">
        <v>247</v>
      </c>
      <c r="G117" s="127">
        <v>195</v>
      </c>
      <c r="H117" s="127">
        <v>232</v>
      </c>
      <c r="I117" s="127">
        <v>225.6</v>
      </c>
      <c r="J117" s="127">
        <v>19</v>
      </c>
    </row>
    <row r="118" spans="1:10" ht="15" customHeight="1">
      <c r="A118" s="92">
        <v>8</v>
      </c>
      <c r="B118" s="127" t="s">
        <v>88</v>
      </c>
      <c r="C118" s="127">
        <v>9.9499999999999993</v>
      </c>
      <c r="D118" s="127">
        <v>2.3010000000000002</v>
      </c>
      <c r="E118" s="127">
        <v>38</v>
      </c>
      <c r="F118" s="127">
        <v>239</v>
      </c>
      <c r="G118" s="127">
        <v>226</v>
      </c>
      <c r="H118" s="127">
        <v>235</v>
      </c>
      <c r="I118" s="127">
        <v>231.37</v>
      </c>
      <c r="J118" s="127">
        <v>15</v>
      </c>
    </row>
    <row r="119" spans="1:10" ht="15" customHeight="1">
      <c r="A119" s="92">
        <v>9</v>
      </c>
      <c r="B119" s="127" t="s">
        <v>168</v>
      </c>
      <c r="C119" s="127">
        <v>11.42</v>
      </c>
      <c r="D119" s="127">
        <v>1.5129999999999999</v>
      </c>
      <c r="E119" s="127">
        <v>72</v>
      </c>
      <c r="F119" s="127">
        <v>144</v>
      </c>
      <c r="G119" s="127">
        <v>128</v>
      </c>
      <c r="H119" s="127">
        <v>139</v>
      </c>
      <c r="I119" s="127">
        <v>132.44</v>
      </c>
      <c r="J119" s="127">
        <v>18</v>
      </c>
    </row>
    <row r="120" spans="1:10" ht="15" customHeight="1">
      <c r="A120" s="92">
        <v>10</v>
      </c>
      <c r="B120" s="127" t="s">
        <v>465</v>
      </c>
      <c r="C120" s="127">
        <v>0.31</v>
      </c>
      <c r="D120" s="127">
        <v>4.3999999999999997E-2</v>
      </c>
      <c r="E120" s="127">
        <v>5</v>
      </c>
      <c r="F120" s="127">
        <v>144</v>
      </c>
      <c r="G120" s="127">
        <v>142</v>
      </c>
      <c r="H120" s="127">
        <v>144</v>
      </c>
      <c r="I120" s="127">
        <v>142.08000000000001</v>
      </c>
      <c r="J120" s="127">
        <v>1</v>
      </c>
    </row>
    <row r="121" spans="1:10" ht="15" customHeight="1">
      <c r="A121" s="92">
        <v>11</v>
      </c>
      <c r="B121" s="127" t="s">
        <v>216</v>
      </c>
      <c r="C121" s="127">
        <v>5.65</v>
      </c>
      <c r="D121" s="127">
        <v>0.96199999999999997</v>
      </c>
      <c r="E121" s="127">
        <v>55</v>
      </c>
      <c r="F121" s="127">
        <v>195</v>
      </c>
      <c r="G121" s="127">
        <v>145</v>
      </c>
      <c r="H121" s="127">
        <v>173</v>
      </c>
      <c r="I121" s="127">
        <v>170.13</v>
      </c>
      <c r="J121" s="127">
        <v>14</v>
      </c>
    </row>
    <row r="122" spans="1:10" ht="15" customHeight="1">
      <c r="A122" s="92">
        <v>12</v>
      </c>
      <c r="B122" s="127" t="s">
        <v>481</v>
      </c>
      <c r="C122" s="127">
        <v>2.48</v>
      </c>
      <c r="D122" s="127">
        <v>0.42099999999999999</v>
      </c>
      <c r="E122" s="127">
        <v>10</v>
      </c>
      <c r="F122" s="127">
        <v>180</v>
      </c>
      <c r="G122" s="127">
        <v>162</v>
      </c>
      <c r="H122" s="127">
        <v>180</v>
      </c>
      <c r="I122" s="127">
        <v>169.73</v>
      </c>
      <c r="J122" s="127">
        <v>4</v>
      </c>
    </row>
    <row r="123" spans="1:10" ht="15" customHeight="1">
      <c r="A123" s="92">
        <v>13</v>
      </c>
      <c r="B123" s="127" t="s">
        <v>214</v>
      </c>
      <c r="C123" s="127">
        <v>8.08</v>
      </c>
      <c r="D123" s="127">
        <v>1.4319999999999999</v>
      </c>
      <c r="E123" s="127">
        <v>22</v>
      </c>
      <c r="F123" s="127">
        <v>183</v>
      </c>
      <c r="G123" s="127">
        <v>172</v>
      </c>
      <c r="H123" s="127">
        <v>174</v>
      </c>
      <c r="I123" s="127">
        <v>177.26</v>
      </c>
      <c r="J123" s="127">
        <v>8</v>
      </c>
    </row>
    <row r="124" spans="1:10" ht="15" customHeight="1">
      <c r="A124" s="92">
        <v>14</v>
      </c>
      <c r="B124" s="127" t="s">
        <v>246</v>
      </c>
      <c r="C124" s="127">
        <v>0.65</v>
      </c>
      <c r="D124" s="127">
        <v>0.113</v>
      </c>
      <c r="E124" s="127">
        <v>40</v>
      </c>
      <c r="F124" s="127">
        <v>210</v>
      </c>
      <c r="G124" s="127">
        <v>115</v>
      </c>
      <c r="H124" s="127">
        <v>210</v>
      </c>
      <c r="I124" s="127">
        <v>175.21</v>
      </c>
      <c r="J124" s="127">
        <v>11</v>
      </c>
    </row>
    <row r="125" spans="1:10" ht="15" customHeight="1">
      <c r="A125" s="92">
        <v>15</v>
      </c>
      <c r="B125" s="127" t="s">
        <v>459</v>
      </c>
      <c r="C125" s="127">
        <v>1.26</v>
      </c>
      <c r="D125" s="127">
        <v>0.115</v>
      </c>
      <c r="E125" s="127">
        <v>3</v>
      </c>
      <c r="F125" s="127">
        <v>91</v>
      </c>
      <c r="G125" s="127">
        <v>90</v>
      </c>
      <c r="H125" s="127">
        <v>90</v>
      </c>
      <c r="I125" s="127">
        <v>90.88</v>
      </c>
      <c r="J125" s="127">
        <v>2</v>
      </c>
    </row>
    <row r="126" spans="1:10" ht="15" customHeight="1">
      <c r="A126" s="92">
        <v>16</v>
      </c>
      <c r="B126" s="127" t="s">
        <v>176</v>
      </c>
      <c r="C126" s="127">
        <v>10.95</v>
      </c>
      <c r="D126" s="127">
        <v>1.7110000000000001</v>
      </c>
      <c r="E126" s="127">
        <v>25</v>
      </c>
      <c r="F126" s="127">
        <v>170</v>
      </c>
      <c r="G126" s="127">
        <v>136</v>
      </c>
      <c r="H126" s="127">
        <v>170</v>
      </c>
      <c r="I126" s="127">
        <v>156.19999999999999</v>
      </c>
      <c r="J126" s="127">
        <v>8</v>
      </c>
    </row>
    <row r="127" spans="1:10" ht="15" customHeight="1">
      <c r="A127" s="92">
        <v>17</v>
      </c>
      <c r="B127" s="127" t="s">
        <v>180</v>
      </c>
      <c r="C127" s="127">
        <v>0.2</v>
      </c>
      <c r="D127" s="127">
        <v>4.1000000000000002E-2</v>
      </c>
      <c r="E127" s="127">
        <v>4</v>
      </c>
      <c r="F127" s="127">
        <v>214</v>
      </c>
      <c r="G127" s="127">
        <v>206</v>
      </c>
      <c r="H127" s="127">
        <v>214</v>
      </c>
      <c r="I127" s="127">
        <v>209.02</v>
      </c>
      <c r="J127" s="127">
        <v>4</v>
      </c>
    </row>
    <row r="128" spans="1:10" ht="15" customHeight="1">
      <c r="A128" s="92">
        <v>18</v>
      </c>
      <c r="B128" s="127" t="s">
        <v>228</v>
      </c>
      <c r="C128" s="127">
        <v>5.54</v>
      </c>
      <c r="D128" s="127">
        <v>0.52900000000000003</v>
      </c>
      <c r="E128" s="127">
        <v>23</v>
      </c>
      <c r="F128" s="127">
        <v>98</v>
      </c>
      <c r="G128" s="127">
        <v>85</v>
      </c>
      <c r="H128" s="127">
        <v>96</v>
      </c>
      <c r="I128" s="127">
        <v>95.54</v>
      </c>
      <c r="J128" s="127">
        <v>9</v>
      </c>
    </row>
    <row r="129" spans="1:10" ht="15" customHeight="1">
      <c r="A129" s="92">
        <v>19</v>
      </c>
      <c r="B129" s="127" t="s">
        <v>200</v>
      </c>
      <c r="C129" s="127">
        <v>0.65</v>
      </c>
      <c r="D129" s="127">
        <v>7.6999999999999999E-2</v>
      </c>
      <c r="E129" s="127">
        <v>3</v>
      </c>
      <c r="F129" s="127">
        <v>119</v>
      </c>
      <c r="G129" s="127">
        <v>115</v>
      </c>
      <c r="H129" s="127">
        <v>115</v>
      </c>
      <c r="I129" s="127">
        <v>118.23</v>
      </c>
      <c r="J129" s="127">
        <v>3</v>
      </c>
    </row>
    <row r="130" spans="1:10" ht="15" customHeight="1">
      <c r="A130" s="92">
        <v>20</v>
      </c>
      <c r="B130" s="127" t="s">
        <v>172</v>
      </c>
      <c r="C130" s="127">
        <v>1.41</v>
      </c>
      <c r="D130" s="127">
        <v>0.17799999999999999</v>
      </c>
      <c r="E130" s="127">
        <v>37</v>
      </c>
      <c r="F130" s="127">
        <v>146</v>
      </c>
      <c r="G130" s="127">
        <v>106</v>
      </c>
      <c r="H130" s="127">
        <v>106</v>
      </c>
      <c r="I130" s="127">
        <v>125.67</v>
      </c>
      <c r="J130" s="127">
        <v>15</v>
      </c>
    </row>
    <row r="131" spans="1:10" ht="15" customHeight="1">
      <c r="A131" s="92">
        <v>21</v>
      </c>
      <c r="B131" s="127" t="s">
        <v>207</v>
      </c>
      <c r="C131" s="127">
        <v>36.53</v>
      </c>
      <c r="D131" s="127">
        <v>15.169</v>
      </c>
      <c r="E131" s="127">
        <v>67</v>
      </c>
      <c r="F131" s="127">
        <v>470</v>
      </c>
      <c r="G131" s="127">
        <v>342</v>
      </c>
      <c r="H131" s="127">
        <v>426</v>
      </c>
      <c r="I131" s="127">
        <v>415.24</v>
      </c>
      <c r="J131" s="127">
        <v>18</v>
      </c>
    </row>
    <row r="132" spans="1:10" ht="15" customHeight="1">
      <c r="A132" s="92">
        <v>22</v>
      </c>
      <c r="B132" s="127" t="s">
        <v>1032</v>
      </c>
      <c r="C132" s="127">
        <v>10.59</v>
      </c>
      <c r="D132" s="127">
        <v>1.621</v>
      </c>
      <c r="E132" s="127">
        <v>84</v>
      </c>
      <c r="F132" s="127">
        <v>174</v>
      </c>
      <c r="G132" s="127">
        <v>122</v>
      </c>
      <c r="H132" s="127">
        <v>138</v>
      </c>
      <c r="I132" s="127">
        <v>153.12</v>
      </c>
      <c r="J132" s="127">
        <v>12</v>
      </c>
    </row>
    <row r="133" spans="1:10" ht="15" customHeight="1">
      <c r="A133" s="92">
        <v>23</v>
      </c>
      <c r="B133" s="127" t="s">
        <v>308</v>
      </c>
      <c r="C133" s="127">
        <v>5.66</v>
      </c>
      <c r="D133" s="127">
        <v>0.46</v>
      </c>
      <c r="E133" s="127">
        <v>22</v>
      </c>
      <c r="F133" s="127">
        <v>83</v>
      </c>
      <c r="G133" s="127">
        <v>80</v>
      </c>
      <c r="H133" s="127">
        <v>81</v>
      </c>
      <c r="I133" s="127">
        <v>81.25</v>
      </c>
      <c r="J133" s="127">
        <v>9</v>
      </c>
    </row>
    <row r="134" spans="1:10" ht="15" customHeight="1">
      <c r="A134" s="92">
        <v>24</v>
      </c>
      <c r="B134" s="127" t="s">
        <v>177</v>
      </c>
      <c r="C134" s="127">
        <v>0.55000000000000004</v>
      </c>
      <c r="D134" s="127">
        <v>5.5E-2</v>
      </c>
      <c r="E134" s="127">
        <v>8</v>
      </c>
      <c r="F134" s="127">
        <v>102</v>
      </c>
      <c r="G134" s="127">
        <v>98</v>
      </c>
      <c r="H134" s="127">
        <v>99</v>
      </c>
      <c r="I134" s="127">
        <v>100.33</v>
      </c>
      <c r="J134" s="127">
        <v>4</v>
      </c>
    </row>
    <row r="135" spans="1:10" ht="15" customHeight="1">
      <c r="A135" s="92">
        <v>25</v>
      </c>
      <c r="B135" s="127" t="s">
        <v>173</v>
      </c>
      <c r="C135" s="127">
        <v>10.39</v>
      </c>
      <c r="D135" s="127">
        <v>1.0489999999999999</v>
      </c>
      <c r="E135" s="127">
        <v>114</v>
      </c>
      <c r="F135" s="127">
        <v>105</v>
      </c>
      <c r="G135" s="127">
        <v>97</v>
      </c>
      <c r="H135" s="127">
        <v>101</v>
      </c>
      <c r="I135" s="127">
        <v>101</v>
      </c>
      <c r="J135" s="127">
        <v>14</v>
      </c>
    </row>
    <row r="136" spans="1:10" ht="15" customHeight="1">
      <c r="A136" s="92">
        <v>26</v>
      </c>
      <c r="B136" s="127" t="s">
        <v>37</v>
      </c>
      <c r="C136" s="127">
        <v>7.43</v>
      </c>
      <c r="D136" s="127">
        <v>1.54</v>
      </c>
      <c r="E136" s="127">
        <v>40</v>
      </c>
      <c r="F136" s="127">
        <v>229</v>
      </c>
      <c r="G136" s="127">
        <v>166</v>
      </c>
      <c r="H136" s="127">
        <v>225</v>
      </c>
      <c r="I136" s="127">
        <v>207.34</v>
      </c>
      <c r="J136" s="127">
        <v>11</v>
      </c>
    </row>
    <row r="137" spans="1:10" ht="15" customHeight="1">
      <c r="A137" s="96">
        <v>27</v>
      </c>
      <c r="B137" s="127" t="s">
        <v>157</v>
      </c>
      <c r="C137" s="127">
        <v>15.42</v>
      </c>
      <c r="D137" s="127">
        <v>1.7310000000000001</v>
      </c>
      <c r="E137" s="127">
        <v>132</v>
      </c>
      <c r="F137" s="127">
        <v>127</v>
      </c>
      <c r="G137" s="127">
        <v>100</v>
      </c>
      <c r="H137" s="127">
        <v>112</v>
      </c>
      <c r="I137" s="127">
        <v>112.25</v>
      </c>
      <c r="J137" s="127">
        <v>9</v>
      </c>
    </row>
    <row r="138" spans="1:10" ht="15" customHeight="1">
      <c r="A138" s="97"/>
      <c r="B138" s="127" t="s">
        <v>61</v>
      </c>
      <c r="C138" s="127">
        <v>550.04</v>
      </c>
      <c r="D138" s="127">
        <v>131.44200000000001</v>
      </c>
      <c r="E138" s="127">
        <v>1639</v>
      </c>
      <c r="F138" s="127"/>
      <c r="G138" s="127"/>
      <c r="H138" s="127"/>
      <c r="I138" s="127"/>
      <c r="J138" s="229"/>
    </row>
    <row r="139" spans="1:10" ht="15" customHeight="1">
      <c r="A139" s="97"/>
      <c r="B139" s="265"/>
      <c r="C139" s="265"/>
      <c r="D139" s="265"/>
      <c r="E139" s="265"/>
      <c r="F139" s="265"/>
      <c r="G139" s="265"/>
      <c r="H139" s="265"/>
      <c r="I139" s="265"/>
      <c r="J139" s="8"/>
    </row>
    <row r="140" spans="1:10" ht="20.25" customHeight="1">
      <c r="A140" s="73"/>
      <c r="B140" s="71" t="s">
        <v>59</v>
      </c>
      <c r="C140" s="74"/>
      <c r="D140" s="74"/>
      <c r="E140" s="74"/>
      <c r="F140" s="74"/>
      <c r="G140" s="74"/>
      <c r="H140" s="74"/>
      <c r="I140" s="75"/>
      <c r="J140" s="37" t="s">
        <v>5</v>
      </c>
    </row>
    <row r="141" spans="1:10" ht="27" customHeight="1">
      <c r="A141" s="331"/>
      <c r="B141" s="332" t="s">
        <v>26</v>
      </c>
      <c r="C141" s="37" t="s">
        <v>76</v>
      </c>
      <c r="D141" s="37" t="s">
        <v>25</v>
      </c>
      <c r="E141" s="37" t="s">
        <v>106</v>
      </c>
      <c r="F141" s="37"/>
      <c r="G141" s="37"/>
      <c r="H141" s="37"/>
      <c r="I141" s="37"/>
      <c r="J141" s="39" t="s">
        <v>142</v>
      </c>
    </row>
    <row r="142" spans="1:10" ht="15" customHeight="1">
      <c r="A142" s="328"/>
      <c r="B142" s="330"/>
      <c r="C142" s="13" t="s">
        <v>27</v>
      </c>
      <c r="D142" s="13" t="s">
        <v>103</v>
      </c>
      <c r="E142" s="13" t="s">
        <v>107</v>
      </c>
      <c r="F142" s="13" t="s">
        <v>21</v>
      </c>
      <c r="G142" s="13" t="s">
        <v>22</v>
      </c>
      <c r="H142" s="13" t="s">
        <v>23</v>
      </c>
      <c r="I142" s="13" t="s">
        <v>92</v>
      </c>
      <c r="J142" s="40"/>
    </row>
    <row r="143" spans="1:10" ht="15" customHeight="1">
      <c r="A143" s="329"/>
      <c r="B143" s="338"/>
      <c r="C143" s="42" t="s">
        <v>28</v>
      </c>
      <c r="D143" s="42" t="s">
        <v>104</v>
      </c>
      <c r="E143" s="42" t="s">
        <v>94</v>
      </c>
      <c r="F143" s="40"/>
      <c r="G143" s="40"/>
      <c r="H143" s="40"/>
      <c r="I143" s="39" t="s">
        <v>83</v>
      </c>
      <c r="J143" s="127">
        <v>15</v>
      </c>
    </row>
    <row r="144" spans="1:10" ht="15" customHeight="1">
      <c r="A144" s="98">
        <v>1</v>
      </c>
      <c r="B144" s="127" t="s">
        <v>143</v>
      </c>
      <c r="C144" s="127">
        <v>140.1</v>
      </c>
      <c r="D144" s="127">
        <v>31.388999999999999</v>
      </c>
      <c r="E144" s="127">
        <v>164</v>
      </c>
      <c r="F144" s="127">
        <v>238</v>
      </c>
      <c r="G144" s="127">
        <v>196</v>
      </c>
      <c r="H144" s="127">
        <v>196</v>
      </c>
      <c r="I144" s="127">
        <v>224.05</v>
      </c>
      <c r="J144" s="127">
        <v>16</v>
      </c>
    </row>
    <row r="145" spans="1:10" ht="15" customHeight="1">
      <c r="A145" s="98">
        <v>2</v>
      </c>
      <c r="B145" s="127" t="s">
        <v>156</v>
      </c>
      <c r="C145" s="127">
        <v>4.0999999999999996</v>
      </c>
      <c r="D145" s="127">
        <v>0.53800000000000003</v>
      </c>
      <c r="E145" s="127">
        <v>95</v>
      </c>
      <c r="F145" s="127">
        <v>141</v>
      </c>
      <c r="G145" s="127">
        <v>121</v>
      </c>
      <c r="H145" s="127">
        <v>126</v>
      </c>
      <c r="I145" s="127">
        <v>131.18</v>
      </c>
      <c r="J145" s="127">
        <v>15</v>
      </c>
    </row>
    <row r="146" spans="1:10" ht="15" customHeight="1">
      <c r="A146" s="98">
        <v>3</v>
      </c>
      <c r="B146" s="127" t="s">
        <v>1033</v>
      </c>
      <c r="C146" s="127">
        <v>234.83</v>
      </c>
      <c r="D146" s="127">
        <v>37.871000000000002</v>
      </c>
      <c r="E146" s="127">
        <v>1620</v>
      </c>
      <c r="F146" s="127">
        <v>193</v>
      </c>
      <c r="G146" s="127">
        <v>112</v>
      </c>
      <c r="H146" s="127">
        <v>163</v>
      </c>
      <c r="I146" s="127">
        <v>161.27000000000001</v>
      </c>
      <c r="J146" s="127">
        <v>15</v>
      </c>
    </row>
    <row r="147" spans="1:10" ht="15" customHeight="1">
      <c r="A147" s="98">
        <v>4</v>
      </c>
      <c r="B147" s="127" t="s">
        <v>1034</v>
      </c>
      <c r="C147" s="127">
        <v>30.5</v>
      </c>
      <c r="D147" s="127">
        <v>4.3410000000000002</v>
      </c>
      <c r="E147" s="127">
        <v>426</v>
      </c>
      <c r="F147" s="127">
        <v>156</v>
      </c>
      <c r="G147" s="127">
        <v>123</v>
      </c>
      <c r="H147" s="127">
        <v>123</v>
      </c>
      <c r="I147" s="127">
        <v>142.33000000000001</v>
      </c>
      <c r="J147" s="127">
        <v>12</v>
      </c>
    </row>
    <row r="148" spans="1:10" ht="15" customHeight="1">
      <c r="A148" s="98">
        <v>5</v>
      </c>
      <c r="B148" s="127" t="s">
        <v>1035</v>
      </c>
      <c r="C148" s="127">
        <v>1.01</v>
      </c>
      <c r="D148" s="127">
        <v>0.106</v>
      </c>
      <c r="E148" s="127">
        <v>1</v>
      </c>
      <c r="F148" s="127">
        <v>105</v>
      </c>
      <c r="G148" s="127">
        <v>105</v>
      </c>
      <c r="H148" s="127">
        <v>105</v>
      </c>
      <c r="I148" s="127">
        <v>105</v>
      </c>
      <c r="J148" s="127">
        <v>1</v>
      </c>
    </row>
    <row r="149" spans="1:10" ht="15" customHeight="1">
      <c r="A149" s="98">
        <v>6</v>
      </c>
      <c r="B149" s="127" t="s">
        <v>697</v>
      </c>
      <c r="C149" s="127">
        <v>0.95</v>
      </c>
      <c r="D149" s="127">
        <v>0.107</v>
      </c>
      <c r="E149" s="127">
        <v>5</v>
      </c>
      <c r="F149" s="127">
        <v>114</v>
      </c>
      <c r="G149" s="127">
        <v>110</v>
      </c>
      <c r="H149" s="127">
        <v>110</v>
      </c>
      <c r="I149" s="127">
        <v>112.42</v>
      </c>
      <c r="J149" s="127">
        <v>4</v>
      </c>
    </row>
    <row r="150" spans="1:10" ht="15" customHeight="1">
      <c r="A150" s="98">
        <v>7</v>
      </c>
      <c r="B150" s="127" t="s">
        <v>164</v>
      </c>
      <c r="C150" s="127">
        <v>3.57</v>
      </c>
      <c r="D150" s="127">
        <v>0.72399999999999998</v>
      </c>
      <c r="E150" s="127">
        <v>64</v>
      </c>
      <c r="F150" s="127">
        <v>245</v>
      </c>
      <c r="G150" s="127">
        <v>185</v>
      </c>
      <c r="H150" s="127">
        <v>201</v>
      </c>
      <c r="I150" s="127">
        <v>202.75</v>
      </c>
      <c r="J150" s="127">
        <v>17</v>
      </c>
    </row>
    <row r="151" spans="1:10" ht="15" customHeight="1">
      <c r="A151" s="98">
        <v>8</v>
      </c>
      <c r="B151" s="127" t="s">
        <v>209</v>
      </c>
      <c r="C151" s="127">
        <v>20.2</v>
      </c>
      <c r="D151" s="127">
        <v>2.6190000000000002</v>
      </c>
      <c r="E151" s="127">
        <v>74</v>
      </c>
      <c r="F151" s="127">
        <v>143</v>
      </c>
      <c r="G151" s="127">
        <v>119</v>
      </c>
      <c r="H151" s="127">
        <v>125</v>
      </c>
      <c r="I151" s="127">
        <v>129.66999999999999</v>
      </c>
      <c r="J151" s="127">
        <v>17</v>
      </c>
    </row>
    <row r="152" spans="1:10" ht="15" customHeight="1">
      <c r="A152" s="98">
        <v>9</v>
      </c>
      <c r="B152" s="127" t="s">
        <v>0</v>
      </c>
      <c r="C152" s="127">
        <v>4.05</v>
      </c>
      <c r="D152" s="127">
        <v>2.9369999999999998</v>
      </c>
      <c r="E152" s="127">
        <v>25</v>
      </c>
      <c r="F152" s="127">
        <v>816</v>
      </c>
      <c r="G152" s="127">
        <v>690</v>
      </c>
      <c r="H152" s="127">
        <v>816</v>
      </c>
      <c r="I152" s="127">
        <v>725.32</v>
      </c>
      <c r="J152" s="127">
        <v>8</v>
      </c>
    </row>
    <row r="153" spans="1:10" ht="15" customHeight="1">
      <c r="A153" s="98">
        <v>10</v>
      </c>
      <c r="B153" s="127" t="s">
        <v>151</v>
      </c>
      <c r="C153" s="127">
        <v>7.72</v>
      </c>
      <c r="D153" s="127">
        <v>2.073</v>
      </c>
      <c r="E153" s="127">
        <v>101</v>
      </c>
      <c r="F153" s="127">
        <v>305</v>
      </c>
      <c r="G153" s="127">
        <v>244</v>
      </c>
      <c r="H153" s="127">
        <v>294</v>
      </c>
      <c r="I153" s="127">
        <v>268.43</v>
      </c>
      <c r="J153" s="127">
        <v>18</v>
      </c>
    </row>
    <row r="154" spans="1:10" ht="15" customHeight="1">
      <c r="A154" s="98">
        <v>11</v>
      </c>
      <c r="B154" s="127" t="s">
        <v>137</v>
      </c>
      <c r="C154" s="127">
        <v>110.37</v>
      </c>
      <c r="D154" s="127">
        <v>30.975000000000001</v>
      </c>
      <c r="E154" s="127">
        <v>347</v>
      </c>
      <c r="F154" s="127">
        <v>318</v>
      </c>
      <c r="G154" s="127">
        <v>240</v>
      </c>
      <c r="H154" s="127">
        <v>289</v>
      </c>
      <c r="I154" s="127">
        <v>280.64</v>
      </c>
      <c r="J154" s="127">
        <v>19</v>
      </c>
    </row>
    <row r="155" spans="1:10" ht="15" customHeight="1">
      <c r="A155" s="98">
        <v>12</v>
      </c>
      <c r="B155" s="127" t="s">
        <v>175</v>
      </c>
      <c r="C155" s="127">
        <v>11.9</v>
      </c>
      <c r="D155" s="127">
        <v>1.133</v>
      </c>
      <c r="E155" s="127">
        <v>190</v>
      </c>
      <c r="F155" s="127">
        <v>100</v>
      </c>
      <c r="G155" s="127">
        <v>90</v>
      </c>
      <c r="H155" s="127">
        <v>92</v>
      </c>
      <c r="I155" s="127">
        <v>95.23</v>
      </c>
      <c r="J155" s="127">
        <v>16</v>
      </c>
    </row>
    <row r="156" spans="1:10" ht="15.75" customHeight="1">
      <c r="A156" s="98">
        <v>13</v>
      </c>
      <c r="B156" s="127" t="s">
        <v>661</v>
      </c>
      <c r="C156" s="127">
        <v>11.61</v>
      </c>
      <c r="D156" s="127">
        <v>1.135</v>
      </c>
      <c r="E156" s="127">
        <v>118</v>
      </c>
      <c r="F156" s="127">
        <v>103</v>
      </c>
      <c r="G156" s="127">
        <v>95</v>
      </c>
      <c r="H156" s="127">
        <v>98</v>
      </c>
      <c r="I156" s="127">
        <v>97.8</v>
      </c>
      <c r="J156" s="127">
        <v>7</v>
      </c>
    </row>
    <row r="157" spans="1:10" ht="12.75">
      <c r="A157" s="98">
        <v>14</v>
      </c>
      <c r="B157" s="127" t="s">
        <v>155</v>
      </c>
      <c r="C157" s="127">
        <v>5.66</v>
      </c>
      <c r="D157" s="127">
        <v>5.0890000000000004</v>
      </c>
      <c r="E157" s="127">
        <v>41</v>
      </c>
      <c r="F157" s="127">
        <v>935</v>
      </c>
      <c r="G157" s="127">
        <v>752</v>
      </c>
      <c r="H157" s="127">
        <v>832</v>
      </c>
      <c r="I157" s="127">
        <v>899.96</v>
      </c>
      <c r="J157" s="127">
        <v>13</v>
      </c>
    </row>
    <row r="158" spans="1:10" ht="14.25" customHeight="1">
      <c r="A158" s="98">
        <v>15</v>
      </c>
      <c r="B158" s="127" t="s">
        <v>241</v>
      </c>
      <c r="C158" s="127">
        <v>24.21</v>
      </c>
      <c r="D158" s="127">
        <v>16.241</v>
      </c>
      <c r="E158" s="127">
        <v>55</v>
      </c>
      <c r="F158" s="127">
        <v>703</v>
      </c>
      <c r="G158" s="127">
        <v>578</v>
      </c>
      <c r="H158" s="127">
        <v>680</v>
      </c>
      <c r="I158" s="127">
        <v>670.75</v>
      </c>
      <c r="J158" s="127">
        <v>6</v>
      </c>
    </row>
    <row r="159" spans="1:10" ht="13.5" customHeight="1">
      <c r="A159" s="98">
        <v>16</v>
      </c>
      <c r="B159" s="127" t="s">
        <v>189</v>
      </c>
      <c r="C159" s="127">
        <v>56.85</v>
      </c>
      <c r="D159" s="127">
        <v>29.731000000000002</v>
      </c>
      <c r="E159" s="127">
        <v>58</v>
      </c>
      <c r="F159" s="127">
        <v>593</v>
      </c>
      <c r="G159" s="127">
        <v>500</v>
      </c>
      <c r="H159" s="127">
        <v>545</v>
      </c>
      <c r="I159" s="127">
        <v>522.97</v>
      </c>
      <c r="J159" s="127">
        <v>7</v>
      </c>
    </row>
    <row r="160" spans="1:10" ht="15" customHeight="1">
      <c r="A160" s="98">
        <v>17</v>
      </c>
      <c r="B160" s="127" t="s">
        <v>161</v>
      </c>
      <c r="C160" s="127">
        <v>25.18</v>
      </c>
      <c r="D160" s="127">
        <v>6.7130000000000001</v>
      </c>
      <c r="E160" s="127">
        <v>168</v>
      </c>
      <c r="F160" s="127">
        <v>295</v>
      </c>
      <c r="G160" s="127">
        <v>220</v>
      </c>
      <c r="H160" s="127">
        <v>290</v>
      </c>
      <c r="I160" s="127">
        <v>266.62</v>
      </c>
      <c r="J160" s="127">
        <v>19</v>
      </c>
    </row>
    <row r="161" spans="1:10" ht="15" customHeight="1">
      <c r="A161" s="98">
        <v>18</v>
      </c>
      <c r="B161" s="127" t="s">
        <v>242</v>
      </c>
      <c r="C161" s="127">
        <v>7.82</v>
      </c>
      <c r="D161" s="127">
        <v>1.425</v>
      </c>
      <c r="E161" s="127">
        <v>41</v>
      </c>
      <c r="F161" s="127">
        <v>201</v>
      </c>
      <c r="G161" s="127">
        <v>153</v>
      </c>
      <c r="H161" s="127">
        <v>189</v>
      </c>
      <c r="I161" s="127">
        <v>182.14</v>
      </c>
      <c r="J161" s="127">
        <v>11</v>
      </c>
    </row>
    <row r="162" spans="1:10" ht="15" customHeight="1">
      <c r="A162" s="98">
        <v>19</v>
      </c>
      <c r="B162" s="127" t="s">
        <v>158</v>
      </c>
      <c r="C162" s="127">
        <v>16.53</v>
      </c>
      <c r="D162" s="127">
        <v>2.1419999999999999</v>
      </c>
      <c r="E162" s="127">
        <v>305</v>
      </c>
      <c r="F162" s="127">
        <v>146</v>
      </c>
      <c r="G162" s="127">
        <v>95</v>
      </c>
      <c r="H162" s="127">
        <v>107</v>
      </c>
      <c r="I162" s="127">
        <v>129.63</v>
      </c>
      <c r="J162" s="127">
        <v>19</v>
      </c>
    </row>
    <row r="163" spans="1:10" ht="15" customHeight="1">
      <c r="A163" s="98">
        <v>20</v>
      </c>
      <c r="B163" s="127" t="s">
        <v>307</v>
      </c>
      <c r="C163" s="127">
        <v>0.17</v>
      </c>
      <c r="D163" s="127">
        <v>2.5000000000000001E-2</v>
      </c>
      <c r="E163" s="127">
        <v>1</v>
      </c>
      <c r="F163" s="127">
        <v>147</v>
      </c>
      <c r="G163" s="127">
        <v>147</v>
      </c>
      <c r="H163" s="127">
        <v>147</v>
      </c>
      <c r="I163" s="127">
        <v>147</v>
      </c>
      <c r="J163" s="127">
        <v>1</v>
      </c>
    </row>
    <row r="164" spans="1:10" ht="15" customHeight="1">
      <c r="A164" s="98">
        <v>21</v>
      </c>
      <c r="B164" s="127" t="s">
        <v>174</v>
      </c>
      <c r="C164" s="127">
        <v>194.26</v>
      </c>
      <c r="D164" s="127">
        <v>15.112</v>
      </c>
      <c r="E164" s="127">
        <v>211</v>
      </c>
      <c r="F164" s="127">
        <v>86</v>
      </c>
      <c r="G164" s="127">
        <v>70</v>
      </c>
      <c r="H164" s="127">
        <v>70</v>
      </c>
      <c r="I164" s="127">
        <v>77.790000000000006</v>
      </c>
      <c r="J164" s="127">
        <v>19</v>
      </c>
    </row>
    <row r="165" spans="1:10" ht="15" customHeight="1">
      <c r="A165" s="98">
        <v>22</v>
      </c>
      <c r="B165" s="127" t="s">
        <v>247</v>
      </c>
      <c r="C165" s="127">
        <v>40.97</v>
      </c>
      <c r="D165" s="127">
        <v>3.82</v>
      </c>
      <c r="E165" s="127">
        <v>206</v>
      </c>
      <c r="F165" s="127">
        <v>106</v>
      </c>
      <c r="G165" s="127">
        <v>82</v>
      </c>
      <c r="H165" s="127">
        <v>90</v>
      </c>
      <c r="I165" s="127">
        <v>93.22</v>
      </c>
      <c r="J165" s="127">
        <v>19</v>
      </c>
    </row>
    <row r="166" spans="1:10" ht="15" customHeight="1">
      <c r="A166" s="98">
        <v>23</v>
      </c>
      <c r="B166" s="127" t="s">
        <v>691</v>
      </c>
      <c r="C166" s="127">
        <v>0.21</v>
      </c>
      <c r="D166" s="127">
        <v>2.4E-2</v>
      </c>
      <c r="E166" s="127">
        <v>1</v>
      </c>
      <c r="F166" s="127">
        <v>117</v>
      </c>
      <c r="G166" s="127">
        <v>117</v>
      </c>
      <c r="H166" s="127">
        <v>117</v>
      </c>
      <c r="I166" s="127">
        <v>117</v>
      </c>
      <c r="J166" s="127">
        <v>1</v>
      </c>
    </row>
    <row r="167" spans="1:10" ht="15" customHeight="1">
      <c r="A167" s="98">
        <v>24</v>
      </c>
      <c r="B167" s="127" t="s">
        <v>1036</v>
      </c>
      <c r="C167" s="127">
        <v>87.35</v>
      </c>
      <c r="D167" s="127">
        <v>9.0079999999999991</v>
      </c>
      <c r="E167" s="127">
        <v>188</v>
      </c>
      <c r="F167" s="127">
        <v>115</v>
      </c>
      <c r="G167" s="127">
        <v>94</v>
      </c>
      <c r="H167" s="127">
        <v>113</v>
      </c>
      <c r="I167" s="127">
        <v>103.12</v>
      </c>
      <c r="J167" s="127">
        <v>19</v>
      </c>
    </row>
    <row r="168" spans="1:10" ht="15" customHeight="1">
      <c r="A168" s="98">
        <v>25</v>
      </c>
      <c r="B168" s="127" t="s">
        <v>162</v>
      </c>
      <c r="C168" s="127">
        <v>200.96</v>
      </c>
      <c r="D168" s="127">
        <v>25.448</v>
      </c>
      <c r="E168" s="127">
        <v>1002</v>
      </c>
      <c r="F168" s="127">
        <v>149</v>
      </c>
      <c r="G168" s="127">
        <v>111</v>
      </c>
      <c r="H168" s="127">
        <v>140</v>
      </c>
      <c r="I168" s="127">
        <v>126.63</v>
      </c>
      <c r="J168" s="127">
        <v>19</v>
      </c>
    </row>
    <row r="169" spans="1:10" ht="15" customHeight="1">
      <c r="A169" s="98">
        <v>26</v>
      </c>
      <c r="B169" s="127" t="s">
        <v>1002</v>
      </c>
      <c r="C169" s="127">
        <v>30.05</v>
      </c>
      <c r="D169" s="127">
        <v>5.4420000000000002</v>
      </c>
      <c r="E169" s="127">
        <v>13</v>
      </c>
      <c r="F169" s="127">
        <v>201</v>
      </c>
      <c r="G169" s="127">
        <v>180</v>
      </c>
      <c r="H169" s="127">
        <v>201</v>
      </c>
      <c r="I169" s="127">
        <v>181.1</v>
      </c>
      <c r="J169" s="127">
        <v>3</v>
      </c>
    </row>
    <row r="170" spans="1:10" ht="15" customHeight="1">
      <c r="A170" s="98">
        <v>27</v>
      </c>
      <c r="B170" s="127" t="s">
        <v>184</v>
      </c>
      <c r="C170" s="127">
        <v>25.23</v>
      </c>
      <c r="D170" s="127">
        <v>7.18</v>
      </c>
      <c r="E170" s="127">
        <v>68</v>
      </c>
      <c r="F170" s="127">
        <v>320</v>
      </c>
      <c r="G170" s="127">
        <v>242</v>
      </c>
      <c r="H170" s="127">
        <v>285</v>
      </c>
      <c r="I170" s="127">
        <v>284.61</v>
      </c>
      <c r="J170" s="127">
        <v>15</v>
      </c>
    </row>
    <row r="171" spans="1:10" ht="15" customHeight="1">
      <c r="A171" s="98">
        <v>28</v>
      </c>
      <c r="B171" s="127" t="s">
        <v>192</v>
      </c>
      <c r="C171" s="127">
        <v>25.31</v>
      </c>
      <c r="D171" s="127">
        <v>2.5659999999999998</v>
      </c>
      <c r="E171" s="127">
        <v>200</v>
      </c>
      <c r="F171" s="127">
        <v>114</v>
      </c>
      <c r="G171" s="127">
        <v>90</v>
      </c>
      <c r="H171" s="127">
        <v>95</v>
      </c>
      <c r="I171" s="127">
        <v>101.36</v>
      </c>
      <c r="J171" s="127">
        <v>18</v>
      </c>
    </row>
    <row r="172" spans="1:10" ht="15" customHeight="1">
      <c r="A172" s="98">
        <v>29</v>
      </c>
      <c r="B172" s="127" t="s">
        <v>248</v>
      </c>
      <c r="C172" s="127">
        <v>0.12</v>
      </c>
      <c r="D172" s="127">
        <v>1.4E-2</v>
      </c>
      <c r="E172" s="127">
        <v>6</v>
      </c>
      <c r="F172" s="127">
        <v>129</v>
      </c>
      <c r="G172" s="127">
        <v>108</v>
      </c>
      <c r="H172" s="127">
        <v>114</v>
      </c>
      <c r="I172" s="127">
        <v>112.64</v>
      </c>
      <c r="J172" s="127">
        <v>5</v>
      </c>
    </row>
    <row r="173" spans="1:10" ht="15" customHeight="1">
      <c r="A173" s="98">
        <v>30</v>
      </c>
      <c r="B173" s="127" t="s">
        <v>169</v>
      </c>
      <c r="C173" s="127">
        <v>9.49</v>
      </c>
      <c r="D173" s="127">
        <v>2.0699999999999998</v>
      </c>
      <c r="E173" s="127">
        <v>89</v>
      </c>
      <c r="F173" s="127">
        <v>234</v>
      </c>
      <c r="G173" s="127">
        <v>201</v>
      </c>
      <c r="H173" s="127">
        <v>205</v>
      </c>
      <c r="I173" s="127">
        <v>218.17</v>
      </c>
      <c r="J173" s="127">
        <v>13</v>
      </c>
    </row>
    <row r="174" spans="1:10" ht="15" customHeight="1">
      <c r="A174" s="98">
        <v>31</v>
      </c>
      <c r="B174" s="127" t="s">
        <v>191</v>
      </c>
      <c r="C174" s="127">
        <v>1.17</v>
      </c>
      <c r="D174" s="127">
        <v>0.11</v>
      </c>
      <c r="E174" s="127">
        <v>39</v>
      </c>
      <c r="F174" s="127">
        <v>97</v>
      </c>
      <c r="G174" s="127">
        <v>91</v>
      </c>
      <c r="H174" s="127">
        <v>95</v>
      </c>
      <c r="I174" s="127">
        <v>94.73</v>
      </c>
      <c r="J174" s="127">
        <v>13</v>
      </c>
    </row>
    <row r="175" spans="1:10" ht="15" customHeight="1">
      <c r="A175" s="98">
        <v>32</v>
      </c>
      <c r="B175" s="127" t="s">
        <v>1037</v>
      </c>
      <c r="C175" s="127">
        <v>4.21</v>
      </c>
      <c r="D175" s="127">
        <v>0.35599999999999998</v>
      </c>
      <c r="E175" s="127">
        <v>116</v>
      </c>
      <c r="F175" s="127">
        <v>93</v>
      </c>
      <c r="G175" s="127">
        <v>80</v>
      </c>
      <c r="H175" s="127">
        <v>83</v>
      </c>
      <c r="I175" s="127">
        <v>84.58</v>
      </c>
      <c r="J175" s="127">
        <v>8</v>
      </c>
    </row>
    <row r="176" spans="1:10" ht="15" customHeight="1">
      <c r="A176" s="98">
        <v>33</v>
      </c>
      <c r="B176" s="127" t="s">
        <v>144</v>
      </c>
      <c r="C176" s="127">
        <v>0.94</v>
      </c>
      <c r="D176" s="127">
        <v>0.14299999999999999</v>
      </c>
      <c r="E176" s="127">
        <v>24</v>
      </c>
      <c r="F176" s="127">
        <v>180</v>
      </c>
      <c r="G176" s="127">
        <v>143</v>
      </c>
      <c r="H176" s="127">
        <v>160</v>
      </c>
      <c r="I176" s="127">
        <v>151.91</v>
      </c>
      <c r="J176" s="127">
        <v>8</v>
      </c>
    </row>
    <row r="177" spans="1:10" ht="15" customHeight="1">
      <c r="A177" s="98">
        <v>34</v>
      </c>
      <c r="B177" s="127" t="s">
        <v>145</v>
      </c>
      <c r="C177" s="127">
        <v>3.82</v>
      </c>
      <c r="D177" s="127">
        <v>1.0389999999999999</v>
      </c>
      <c r="E177" s="127">
        <v>69</v>
      </c>
      <c r="F177" s="127">
        <v>325</v>
      </c>
      <c r="G177" s="127">
        <v>181</v>
      </c>
      <c r="H177" s="127">
        <v>301</v>
      </c>
      <c r="I177" s="127">
        <v>271.95</v>
      </c>
      <c r="J177" s="127">
        <v>18</v>
      </c>
    </row>
    <row r="178" spans="1:10" ht="15" customHeight="1">
      <c r="A178" s="98">
        <v>35</v>
      </c>
      <c r="B178" s="127" t="s">
        <v>93</v>
      </c>
      <c r="C178" s="127">
        <v>5.8</v>
      </c>
      <c r="D178" s="127">
        <v>0.92900000000000005</v>
      </c>
      <c r="E178" s="127">
        <v>22</v>
      </c>
      <c r="F178" s="127">
        <v>167</v>
      </c>
      <c r="G178" s="127">
        <v>143</v>
      </c>
      <c r="H178" s="127">
        <v>143</v>
      </c>
      <c r="I178" s="127">
        <v>160.26</v>
      </c>
      <c r="J178" s="127">
        <v>9</v>
      </c>
    </row>
    <row r="179" spans="1:10" ht="15" customHeight="1">
      <c r="A179" s="98">
        <v>36</v>
      </c>
      <c r="B179" s="127" t="s">
        <v>201</v>
      </c>
      <c r="C179" s="127">
        <v>2.83</v>
      </c>
      <c r="D179" s="127">
        <v>0.54100000000000004</v>
      </c>
      <c r="E179" s="127">
        <v>15</v>
      </c>
      <c r="F179" s="127">
        <v>196</v>
      </c>
      <c r="G179" s="127">
        <v>175</v>
      </c>
      <c r="H179" s="127">
        <v>195</v>
      </c>
      <c r="I179" s="127">
        <v>191.31</v>
      </c>
      <c r="J179" s="127">
        <v>6</v>
      </c>
    </row>
    <row r="180" spans="1:10" ht="15" customHeight="1">
      <c r="A180" s="98">
        <v>37</v>
      </c>
      <c r="B180" s="127" t="s">
        <v>171</v>
      </c>
      <c r="C180" s="127">
        <v>42.61</v>
      </c>
      <c r="D180" s="127">
        <v>19.71</v>
      </c>
      <c r="E180" s="127">
        <v>199</v>
      </c>
      <c r="F180" s="127">
        <v>590</v>
      </c>
      <c r="G180" s="127">
        <v>413</v>
      </c>
      <c r="H180" s="127">
        <v>586</v>
      </c>
      <c r="I180" s="127">
        <v>462.6</v>
      </c>
      <c r="J180" s="127">
        <v>18</v>
      </c>
    </row>
    <row r="181" spans="1:10" ht="15" customHeight="1">
      <c r="A181" s="98">
        <v>38</v>
      </c>
      <c r="B181" s="127" t="s">
        <v>1009</v>
      </c>
      <c r="C181" s="127">
        <v>1.1000000000000001</v>
      </c>
      <c r="D181" s="127">
        <v>0.113</v>
      </c>
      <c r="E181" s="127">
        <v>2</v>
      </c>
      <c r="F181" s="127">
        <v>103</v>
      </c>
      <c r="G181" s="127">
        <v>102</v>
      </c>
      <c r="H181" s="127">
        <v>102</v>
      </c>
      <c r="I181" s="127">
        <v>102.5</v>
      </c>
      <c r="J181" s="127">
        <v>1</v>
      </c>
    </row>
    <row r="182" spans="1:10" ht="15" customHeight="1">
      <c r="A182" s="98">
        <v>39</v>
      </c>
      <c r="B182" s="127" t="s">
        <v>1038</v>
      </c>
      <c r="C182" s="127">
        <v>0.73</v>
      </c>
      <c r="D182" s="127">
        <v>0.31900000000000001</v>
      </c>
      <c r="E182" s="127">
        <v>3</v>
      </c>
      <c r="F182" s="127">
        <v>443</v>
      </c>
      <c r="G182" s="127">
        <v>435</v>
      </c>
      <c r="H182" s="127">
        <v>435</v>
      </c>
      <c r="I182" s="127">
        <v>437.8</v>
      </c>
      <c r="J182" s="127">
        <v>2</v>
      </c>
    </row>
    <row r="183" spans="1:10" ht="15" customHeight="1">
      <c r="A183" s="98">
        <v>40</v>
      </c>
      <c r="B183" s="127" t="s">
        <v>243</v>
      </c>
      <c r="C183" s="127">
        <v>124.9</v>
      </c>
      <c r="D183" s="127">
        <v>14.670999999999999</v>
      </c>
      <c r="E183" s="127">
        <v>199</v>
      </c>
      <c r="F183" s="127">
        <v>130</v>
      </c>
      <c r="G183" s="127">
        <v>110</v>
      </c>
      <c r="H183" s="127">
        <v>113</v>
      </c>
      <c r="I183" s="127">
        <v>117.46</v>
      </c>
      <c r="J183" s="127">
        <v>16</v>
      </c>
    </row>
    <row r="184" spans="1:10" ht="15" customHeight="1">
      <c r="A184" s="98">
        <v>41</v>
      </c>
      <c r="B184" s="127" t="s">
        <v>154</v>
      </c>
      <c r="C184" s="127">
        <v>5.69</v>
      </c>
      <c r="D184" s="127">
        <v>0.92900000000000005</v>
      </c>
      <c r="E184" s="127">
        <v>47</v>
      </c>
      <c r="F184" s="127">
        <v>181</v>
      </c>
      <c r="G184" s="127">
        <v>144</v>
      </c>
      <c r="H184" s="127">
        <v>169</v>
      </c>
      <c r="I184" s="127">
        <v>163.36000000000001</v>
      </c>
      <c r="J184" s="127">
        <v>10</v>
      </c>
    </row>
    <row r="185" spans="1:10" ht="15" customHeight="1">
      <c r="A185" s="98">
        <v>42</v>
      </c>
      <c r="B185" s="127" t="s">
        <v>1039</v>
      </c>
      <c r="C185" s="127">
        <v>0.23</v>
      </c>
      <c r="D185" s="127">
        <v>3.2000000000000001E-2</v>
      </c>
      <c r="E185" s="127">
        <v>1</v>
      </c>
      <c r="F185" s="127">
        <v>140</v>
      </c>
      <c r="G185" s="127">
        <v>140</v>
      </c>
      <c r="H185" s="127">
        <v>140</v>
      </c>
      <c r="I185" s="127">
        <v>140</v>
      </c>
      <c r="J185" s="127">
        <v>1</v>
      </c>
    </row>
    <row r="186" spans="1:10" ht="15" customHeight="1">
      <c r="A186" s="98">
        <v>43</v>
      </c>
      <c r="B186" s="127" t="s">
        <v>149</v>
      </c>
      <c r="C186" s="127">
        <v>1.87</v>
      </c>
      <c r="D186" s="127">
        <v>1.59</v>
      </c>
      <c r="E186" s="127">
        <v>36</v>
      </c>
      <c r="F186" s="127">
        <v>980</v>
      </c>
      <c r="G186" s="127">
        <v>800</v>
      </c>
      <c r="H186" s="127">
        <v>980</v>
      </c>
      <c r="I186" s="127">
        <v>850.7</v>
      </c>
      <c r="J186" s="127">
        <v>13</v>
      </c>
    </row>
    <row r="187" spans="1:10" ht="15" customHeight="1">
      <c r="A187" s="98">
        <v>44</v>
      </c>
      <c r="B187" s="127" t="s">
        <v>178</v>
      </c>
      <c r="C187" s="127">
        <v>11.31</v>
      </c>
      <c r="D187" s="127">
        <v>9.6029999999999998</v>
      </c>
      <c r="E187" s="127">
        <v>35</v>
      </c>
      <c r="F187" s="127">
        <v>884</v>
      </c>
      <c r="G187" s="127">
        <v>716</v>
      </c>
      <c r="H187" s="127">
        <v>739</v>
      </c>
      <c r="I187" s="127">
        <v>849.2</v>
      </c>
      <c r="J187" s="127">
        <v>7</v>
      </c>
    </row>
    <row r="188" spans="1:10" ht="15" customHeight="1">
      <c r="A188" s="98">
        <v>45</v>
      </c>
      <c r="B188" s="127" t="s">
        <v>309</v>
      </c>
      <c r="C188" s="127">
        <v>0.61</v>
      </c>
      <c r="D188" s="127">
        <v>0.123</v>
      </c>
      <c r="E188" s="127">
        <v>1</v>
      </c>
      <c r="F188" s="127">
        <v>201</v>
      </c>
      <c r="G188" s="127">
        <v>201</v>
      </c>
      <c r="H188" s="127">
        <v>201</v>
      </c>
      <c r="I188" s="127">
        <v>201</v>
      </c>
      <c r="J188" s="127">
        <v>1</v>
      </c>
    </row>
    <row r="189" spans="1:10" ht="15" customHeight="1">
      <c r="A189" s="98">
        <v>46</v>
      </c>
      <c r="B189" s="127" t="s">
        <v>1003</v>
      </c>
      <c r="C189" s="127">
        <v>78.3</v>
      </c>
      <c r="D189" s="127">
        <v>19.89</v>
      </c>
      <c r="E189" s="127">
        <v>220</v>
      </c>
      <c r="F189" s="127">
        <v>285</v>
      </c>
      <c r="G189" s="127">
        <v>222</v>
      </c>
      <c r="H189" s="127">
        <v>256</v>
      </c>
      <c r="I189" s="127">
        <v>254.03</v>
      </c>
      <c r="J189" s="127">
        <v>19</v>
      </c>
    </row>
    <row r="190" spans="1:10" ht="15" customHeight="1">
      <c r="A190" s="98">
        <v>47</v>
      </c>
      <c r="B190" s="127" t="s">
        <v>1004</v>
      </c>
      <c r="C190" s="127">
        <v>10.199999999999999</v>
      </c>
      <c r="D190" s="127">
        <v>1.151</v>
      </c>
      <c r="E190" s="127">
        <v>330</v>
      </c>
      <c r="F190" s="127">
        <v>128</v>
      </c>
      <c r="G190" s="127">
        <v>104</v>
      </c>
      <c r="H190" s="127">
        <v>108</v>
      </c>
      <c r="I190" s="127">
        <v>112.88</v>
      </c>
      <c r="J190" s="127">
        <v>15</v>
      </c>
    </row>
    <row r="191" spans="1:10" ht="15" customHeight="1">
      <c r="A191" s="98">
        <v>48</v>
      </c>
      <c r="B191" s="127" t="s">
        <v>183</v>
      </c>
      <c r="C191" s="127">
        <v>0.28000000000000003</v>
      </c>
      <c r="D191" s="127">
        <v>3.5999999999999997E-2</v>
      </c>
      <c r="E191" s="127">
        <v>10</v>
      </c>
      <c r="F191" s="127">
        <v>129</v>
      </c>
      <c r="G191" s="127">
        <v>127</v>
      </c>
      <c r="H191" s="127">
        <v>127</v>
      </c>
      <c r="I191" s="127">
        <v>127.21</v>
      </c>
      <c r="J191" s="127">
        <v>2</v>
      </c>
    </row>
    <row r="192" spans="1:10" ht="15" customHeight="1">
      <c r="A192" s="98">
        <v>49</v>
      </c>
      <c r="B192" s="127" t="s">
        <v>224</v>
      </c>
      <c r="C192" s="127">
        <v>4.5</v>
      </c>
      <c r="D192" s="127">
        <v>0.60799999999999998</v>
      </c>
      <c r="E192" s="127">
        <v>8</v>
      </c>
      <c r="F192" s="127">
        <v>140</v>
      </c>
      <c r="G192" s="127">
        <v>132</v>
      </c>
      <c r="H192" s="127">
        <v>132</v>
      </c>
      <c r="I192" s="127">
        <v>135.27000000000001</v>
      </c>
      <c r="J192" s="127">
        <v>5</v>
      </c>
    </row>
    <row r="193" spans="1:10" ht="15" customHeight="1">
      <c r="A193" s="98">
        <v>50</v>
      </c>
      <c r="B193" s="127" t="s">
        <v>306</v>
      </c>
      <c r="C193" s="127">
        <v>158.41</v>
      </c>
      <c r="D193" s="127">
        <v>115.97</v>
      </c>
      <c r="E193" s="127">
        <v>1723</v>
      </c>
      <c r="F193" s="127">
        <v>841</v>
      </c>
      <c r="G193" s="127">
        <v>676</v>
      </c>
      <c r="H193" s="127">
        <v>840</v>
      </c>
      <c r="I193" s="127">
        <v>732.08</v>
      </c>
      <c r="J193" s="127">
        <v>19</v>
      </c>
    </row>
    <row r="194" spans="1:10" ht="15" customHeight="1">
      <c r="A194" s="98">
        <v>51</v>
      </c>
      <c r="B194" s="127" t="s">
        <v>179</v>
      </c>
      <c r="C194" s="127">
        <v>2.4500000000000002</v>
      </c>
      <c r="D194" s="127">
        <v>0.83699999999999997</v>
      </c>
      <c r="E194" s="127">
        <v>6</v>
      </c>
      <c r="F194" s="127">
        <v>349</v>
      </c>
      <c r="G194" s="127">
        <v>330</v>
      </c>
      <c r="H194" s="127">
        <v>343</v>
      </c>
      <c r="I194" s="127">
        <v>342.51</v>
      </c>
      <c r="J194" s="127">
        <v>5</v>
      </c>
    </row>
    <row r="195" spans="1:10" ht="15" customHeight="1">
      <c r="A195" s="98">
        <v>52</v>
      </c>
      <c r="B195" s="127" t="s">
        <v>148</v>
      </c>
      <c r="C195" s="127">
        <v>9.89</v>
      </c>
      <c r="D195" s="127">
        <v>1.7350000000000001</v>
      </c>
      <c r="E195" s="127">
        <v>123</v>
      </c>
      <c r="F195" s="127">
        <v>191</v>
      </c>
      <c r="G195" s="127">
        <v>154</v>
      </c>
      <c r="H195" s="127">
        <v>168</v>
      </c>
      <c r="I195" s="127">
        <v>175.52</v>
      </c>
      <c r="J195" s="127">
        <v>19</v>
      </c>
    </row>
    <row r="196" spans="1:10" ht="15" customHeight="1">
      <c r="A196" s="98">
        <v>53</v>
      </c>
      <c r="B196" s="127" t="s">
        <v>283</v>
      </c>
      <c r="C196" s="127">
        <v>19.32</v>
      </c>
      <c r="D196" s="127">
        <v>6.0119999999999996</v>
      </c>
      <c r="E196" s="127">
        <v>150</v>
      </c>
      <c r="F196" s="127">
        <v>368</v>
      </c>
      <c r="G196" s="127">
        <v>212</v>
      </c>
      <c r="H196" s="127">
        <v>368</v>
      </c>
      <c r="I196" s="127">
        <v>311.14999999999998</v>
      </c>
      <c r="J196" s="127">
        <v>19</v>
      </c>
    </row>
    <row r="197" spans="1:10" ht="15" customHeight="1">
      <c r="A197" s="98">
        <v>54</v>
      </c>
      <c r="B197" s="127" t="s">
        <v>1040</v>
      </c>
      <c r="C197" s="127">
        <v>8.3000000000000007</v>
      </c>
      <c r="D197" s="127">
        <v>0.89200000000000002</v>
      </c>
      <c r="E197" s="127">
        <v>13</v>
      </c>
      <c r="F197" s="127">
        <v>112</v>
      </c>
      <c r="G197" s="127">
        <v>104</v>
      </c>
      <c r="H197" s="127">
        <v>108</v>
      </c>
      <c r="I197" s="127">
        <v>107.52</v>
      </c>
      <c r="J197" s="127">
        <v>6</v>
      </c>
    </row>
    <row r="198" spans="1:10" ht="15" customHeight="1">
      <c r="A198" s="98">
        <v>55</v>
      </c>
      <c r="B198" s="127" t="s">
        <v>310</v>
      </c>
      <c r="C198" s="127">
        <v>81.069999999999993</v>
      </c>
      <c r="D198" s="127">
        <v>79.558999999999997</v>
      </c>
      <c r="E198" s="127">
        <v>1577</v>
      </c>
      <c r="F198" s="127">
        <v>1140</v>
      </c>
      <c r="G198" s="127">
        <v>898</v>
      </c>
      <c r="H198" s="127">
        <v>1131</v>
      </c>
      <c r="I198" s="127">
        <v>981.41</v>
      </c>
      <c r="J198" s="127">
        <v>19</v>
      </c>
    </row>
    <row r="199" spans="1:10" ht="15" customHeight="1">
      <c r="A199" s="98">
        <v>56</v>
      </c>
      <c r="B199" s="127" t="s">
        <v>237</v>
      </c>
      <c r="C199" s="127">
        <v>0.15</v>
      </c>
      <c r="D199" s="127">
        <v>0.11700000000000001</v>
      </c>
      <c r="E199" s="127">
        <v>6</v>
      </c>
      <c r="F199" s="127">
        <v>816</v>
      </c>
      <c r="G199" s="127">
        <v>785</v>
      </c>
      <c r="H199" s="127">
        <v>816</v>
      </c>
      <c r="I199" s="127">
        <v>804.12</v>
      </c>
      <c r="J199" s="127">
        <v>3</v>
      </c>
    </row>
    <row r="200" spans="1:10" s="94" customFormat="1" ht="15" customHeight="1">
      <c r="A200" s="98">
        <v>57</v>
      </c>
      <c r="B200" s="127" t="s">
        <v>190</v>
      </c>
      <c r="C200" s="127">
        <v>1.84</v>
      </c>
      <c r="D200" s="127">
        <v>1.278</v>
      </c>
      <c r="E200" s="127">
        <v>20</v>
      </c>
      <c r="F200" s="127">
        <v>759</v>
      </c>
      <c r="G200" s="127">
        <v>589</v>
      </c>
      <c r="H200" s="127">
        <v>759</v>
      </c>
      <c r="I200" s="127">
        <v>695.46</v>
      </c>
      <c r="J200" s="127">
        <v>9</v>
      </c>
    </row>
    <row r="201" spans="1:10" ht="15" customHeight="1">
      <c r="A201" s="98">
        <v>58</v>
      </c>
      <c r="B201" s="127" t="s">
        <v>197</v>
      </c>
      <c r="C201" s="127">
        <v>1.96</v>
      </c>
      <c r="D201" s="127">
        <v>0.309</v>
      </c>
      <c r="E201" s="127">
        <v>8</v>
      </c>
      <c r="F201" s="127">
        <v>160</v>
      </c>
      <c r="G201" s="127">
        <v>148</v>
      </c>
      <c r="H201" s="127">
        <v>148</v>
      </c>
      <c r="I201" s="127">
        <v>157.78</v>
      </c>
      <c r="J201" s="127">
        <v>4</v>
      </c>
    </row>
    <row r="202" spans="1:10" ht="15" customHeight="1">
      <c r="A202" s="98">
        <v>59</v>
      </c>
      <c r="B202" s="127" t="s">
        <v>199</v>
      </c>
      <c r="C202" s="127">
        <v>151.63999999999999</v>
      </c>
      <c r="D202" s="127">
        <v>15.917</v>
      </c>
      <c r="E202" s="127">
        <v>338</v>
      </c>
      <c r="F202" s="127">
        <v>115</v>
      </c>
      <c r="G202" s="127">
        <v>90</v>
      </c>
      <c r="H202" s="127">
        <v>100</v>
      </c>
      <c r="I202" s="127">
        <v>104.96</v>
      </c>
      <c r="J202" s="127">
        <v>19</v>
      </c>
    </row>
    <row r="203" spans="1:10" ht="15" customHeight="1">
      <c r="A203" s="98">
        <v>60</v>
      </c>
      <c r="B203" s="127" t="s">
        <v>147</v>
      </c>
      <c r="C203" s="127">
        <v>11.73</v>
      </c>
      <c r="D203" s="127">
        <v>8.2929999999999993</v>
      </c>
      <c r="E203" s="127">
        <v>41</v>
      </c>
      <c r="F203" s="127">
        <v>763</v>
      </c>
      <c r="G203" s="127">
        <v>647</v>
      </c>
      <c r="H203" s="127">
        <v>666</v>
      </c>
      <c r="I203" s="127">
        <v>706.91</v>
      </c>
      <c r="J203" s="127">
        <v>10</v>
      </c>
    </row>
    <row r="204" spans="1:10" ht="15" customHeight="1">
      <c r="A204" s="98">
        <v>61</v>
      </c>
      <c r="B204" s="127" t="s">
        <v>208</v>
      </c>
      <c r="C204" s="127">
        <v>14.01</v>
      </c>
      <c r="D204" s="127">
        <v>3.411</v>
      </c>
      <c r="E204" s="127">
        <v>65</v>
      </c>
      <c r="F204" s="127">
        <v>285</v>
      </c>
      <c r="G204" s="127">
        <v>210</v>
      </c>
      <c r="H204" s="127">
        <v>285</v>
      </c>
      <c r="I204" s="127">
        <v>243.38</v>
      </c>
      <c r="J204" s="127">
        <v>14</v>
      </c>
    </row>
    <row r="205" spans="1:10" ht="15" customHeight="1">
      <c r="A205" s="98">
        <v>62</v>
      </c>
      <c r="B205" s="127" t="s">
        <v>202</v>
      </c>
      <c r="C205" s="127">
        <v>64.400000000000006</v>
      </c>
      <c r="D205" s="127">
        <v>9.3010000000000002</v>
      </c>
      <c r="E205" s="127">
        <v>159</v>
      </c>
      <c r="F205" s="127">
        <v>157</v>
      </c>
      <c r="G205" s="127">
        <v>130</v>
      </c>
      <c r="H205" s="127">
        <v>142</v>
      </c>
      <c r="I205" s="127">
        <v>144.44</v>
      </c>
      <c r="J205" s="127">
        <v>19</v>
      </c>
    </row>
    <row r="206" spans="1:10" ht="15" customHeight="1">
      <c r="A206" s="98">
        <v>63</v>
      </c>
      <c r="B206" s="127" t="s">
        <v>210</v>
      </c>
      <c r="C206" s="127">
        <v>3.62</v>
      </c>
      <c r="D206" s="127">
        <v>0.46899999999999997</v>
      </c>
      <c r="E206" s="127">
        <v>57</v>
      </c>
      <c r="F206" s="127">
        <v>147</v>
      </c>
      <c r="G206" s="127">
        <v>114</v>
      </c>
      <c r="H206" s="127">
        <v>145</v>
      </c>
      <c r="I206" s="127">
        <v>129.59</v>
      </c>
      <c r="J206" s="127">
        <v>12</v>
      </c>
    </row>
    <row r="207" spans="1:10" ht="15" customHeight="1">
      <c r="A207" s="98">
        <v>64</v>
      </c>
      <c r="B207" s="127" t="s">
        <v>1041</v>
      </c>
      <c r="C207" s="127">
        <v>73.569999999999993</v>
      </c>
      <c r="D207" s="127">
        <v>8.4329999999999998</v>
      </c>
      <c r="E207" s="127">
        <v>565</v>
      </c>
      <c r="F207" s="127">
        <v>138</v>
      </c>
      <c r="G207" s="127">
        <v>102</v>
      </c>
      <c r="H207" s="127">
        <v>107</v>
      </c>
      <c r="I207" s="127">
        <v>114.63</v>
      </c>
      <c r="J207" s="127">
        <v>19</v>
      </c>
    </row>
    <row r="208" spans="1:10" ht="15" customHeight="1">
      <c r="A208" s="98">
        <v>65</v>
      </c>
      <c r="B208" s="127" t="s">
        <v>170</v>
      </c>
      <c r="C208" s="127">
        <v>5.87</v>
      </c>
      <c r="D208" s="127">
        <v>0.69599999999999995</v>
      </c>
      <c r="E208" s="127">
        <v>94</v>
      </c>
      <c r="F208" s="127">
        <v>123</v>
      </c>
      <c r="G208" s="127">
        <v>113</v>
      </c>
      <c r="H208" s="127">
        <v>114</v>
      </c>
      <c r="I208" s="127">
        <v>118.5</v>
      </c>
      <c r="J208" s="127">
        <v>19</v>
      </c>
    </row>
    <row r="209" spans="1:10" ht="15" customHeight="1">
      <c r="A209" s="268"/>
      <c r="B209" s="127" t="s">
        <v>61</v>
      </c>
      <c r="C209" s="127">
        <v>2240.61</v>
      </c>
      <c r="D209" s="127">
        <v>573.12</v>
      </c>
      <c r="E209" s="127">
        <v>12204</v>
      </c>
      <c r="F209" s="127"/>
      <c r="G209" s="127"/>
      <c r="H209" s="127"/>
      <c r="I209" s="127"/>
      <c r="J209" s="229"/>
    </row>
    <row r="210" spans="1:10" ht="15" customHeight="1">
      <c r="A210" s="268"/>
    </row>
  </sheetData>
  <mergeCells count="22">
    <mergeCell ref="B141:B143"/>
    <mergeCell ref="A83:A85"/>
    <mergeCell ref="A108:A110"/>
    <mergeCell ref="A141:A143"/>
    <mergeCell ref="A73:A75"/>
    <mergeCell ref="B83:B85"/>
    <mergeCell ref="B73:B75"/>
    <mergeCell ref="B108:B110"/>
    <mergeCell ref="A1:J1"/>
    <mergeCell ref="A2:J2"/>
    <mergeCell ref="A3:J3"/>
    <mergeCell ref="B5:B7"/>
    <mergeCell ref="A5:A7"/>
    <mergeCell ref="C4:E4"/>
    <mergeCell ref="A63:A65"/>
    <mergeCell ref="B63:B65"/>
    <mergeCell ref="A37:A39"/>
    <mergeCell ref="B37:B39"/>
    <mergeCell ref="A55:A57"/>
    <mergeCell ref="B55:B57"/>
    <mergeCell ref="A47:A49"/>
    <mergeCell ref="B47:B49"/>
  </mergeCells>
  <phoneticPr fontId="0" type="noConversion"/>
  <printOptions gridLinesSet="0"/>
  <pageMargins left="0.5" right="0.25" top="0.35" bottom="0.38" header="0" footer="0.19"/>
  <pageSetup paperSize="9" scale="90" firstPageNumber="5" orientation="landscape" useFirstPageNumber="1" horizontalDpi="180" verticalDpi="180" r:id="rId1"/>
  <headerFooter alignWithMargins="0">
    <oddHeader>&amp;LTable 1.3</oddHeader>
    <oddFooter>&amp;RPage &amp;P</oddFooter>
  </headerFooter>
</worksheet>
</file>

<file path=xl/worksheets/sheet5.xml><?xml version="1.0" encoding="utf-8"?>
<worksheet xmlns="http://schemas.openxmlformats.org/spreadsheetml/2006/main" xmlns:r="http://schemas.openxmlformats.org/officeDocument/2006/relationships">
  <sheetPr codeName="Sheet5"/>
  <dimension ref="A1:K28"/>
  <sheetViews>
    <sheetView topLeftCell="A7" workbookViewId="0">
      <selection activeCell="I25" sqref="I25"/>
    </sheetView>
  </sheetViews>
  <sheetFormatPr defaultRowHeight="12.75"/>
  <cols>
    <col min="1" max="1" width="3" bestFit="1" customWidth="1"/>
    <col min="2" max="2" width="48.85546875" bestFit="1" customWidth="1"/>
    <col min="3" max="3" width="13.5703125" bestFit="1" customWidth="1"/>
    <col min="4" max="4" width="11.140625" bestFit="1" customWidth="1"/>
    <col min="5" max="5" width="8.140625" bestFit="1" customWidth="1"/>
    <col min="6" max="6" width="5.5703125" customWidth="1"/>
    <col min="7" max="7" width="6.42578125" bestFit="1" customWidth="1"/>
    <col min="8" max="9" width="9.28515625" bestFit="1" customWidth="1"/>
    <col min="10" max="10" width="8.5703125" customWidth="1"/>
  </cols>
  <sheetData>
    <row r="1" spans="1:10" ht="20.25">
      <c r="A1" s="339" t="s">
        <v>101</v>
      </c>
      <c r="B1" s="339"/>
      <c r="C1" s="339"/>
      <c r="D1" s="339"/>
      <c r="E1" s="339"/>
      <c r="F1" s="339"/>
      <c r="G1" s="339"/>
      <c r="H1" s="339"/>
      <c r="I1" s="339"/>
      <c r="J1" s="339"/>
    </row>
    <row r="2" spans="1:10" ht="15.75">
      <c r="A2" s="313" t="s">
        <v>1047</v>
      </c>
      <c r="B2" s="314"/>
      <c r="C2" s="314"/>
      <c r="D2" s="314"/>
      <c r="E2" s="314"/>
      <c r="F2" s="314"/>
      <c r="G2" s="314"/>
      <c r="H2" s="314"/>
      <c r="I2" s="314"/>
      <c r="J2" s="314"/>
    </row>
    <row r="3" spans="1:10" ht="15.75">
      <c r="A3" s="340" t="s">
        <v>1055</v>
      </c>
      <c r="B3" s="341"/>
      <c r="C3" s="341"/>
      <c r="D3" s="341"/>
      <c r="E3" s="341"/>
      <c r="F3" s="341"/>
      <c r="G3" s="341"/>
      <c r="H3" s="341"/>
      <c r="I3" s="341"/>
      <c r="J3" s="341"/>
    </row>
    <row r="4" spans="1:10" ht="18.75" customHeight="1">
      <c r="A4" s="59"/>
      <c r="B4" s="342" t="s">
        <v>100</v>
      </c>
      <c r="C4" s="342"/>
      <c r="D4" s="342"/>
      <c r="E4" s="342"/>
      <c r="F4" s="342"/>
      <c r="G4" s="342"/>
      <c r="H4" s="342"/>
      <c r="I4" s="342"/>
      <c r="J4" s="343"/>
    </row>
    <row r="5" spans="1:10">
      <c r="A5" s="331"/>
      <c r="B5" s="332" t="s">
        <v>26</v>
      </c>
      <c r="C5" s="13" t="s">
        <v>76</v>
      </c>
      <c r="D5" s="13" t="s">
        <v>25</v>
      </c>
      <c r="E5" s="13" t="s">
        <v>106</v>
      </c>
      <c r="F5" s="13"/>
      <c r="G5" s="13"/>
      <c r="H5" s="13"/>
      <c r="I5" s="13"/>
      <c r="J5" s="234" t="s">
        <v>5</v>
      </c>
    </row>
    <row r="6" spans="1:10">
      <c r="A6" s="328"/>
      <c r="B6" s="330"/>
      <c r="C6" s="13" t="s">
        <v>27</v>
      </c>
      <c r="D6" s="13" t="s">
        <v>103</v>
      </c>
      <c r="E6" s="13" t="s">
        <v>109</v>
      </c>
      <c r="F6" s="13" t="s">
        <v>21</v>
      </c>
      <c r="G6" s="13" t="s">
        <v>22</v>
      </c>
      <c r="H6" s="13" t="s">
        <v>23</v>
      </c>
      <c r="I6" s="13" t="s">
        <v>92</v>
      </c>
      <c r="J6" s="235" t="s">
        <v>142</v>
      </c>
    </row>
    <row r="7" spans="1:10">
      <c r="A7" s="329"/>
      <c r="B7" s="330"/>
      <c r="C7" s="42" t="s">
        <v>28</v>
      </c>
      <c r="D7" s="42" t="s">
        <v>108</v>
      </c>
      <c r="E7" s="42" t="s">
        <v>94</v>
      </c>
      <c r="F7" s="40"/>
      <c r="G7" s="40"/>
      <c r="H7" s="40"/>
      <c r="I7" s="39" t="s">
        <v>83</v>
      </c>
      <c r="J7" s="40"/>
    </row>
    <row r="8" spans="1:10" ht="20.100000000000001" customHeight="1">
      <c r="A8" s="56">
        <v>1</v>
      </c>
      <c r="B8" s="127" t="s">
        <v>1042</v>
      </c>
      <c r="C8" s="127">
        <v>14.94</v>
      </c>
      <c r="D8" s="127">
        <v>1.494</v>
      </c>
      <c r="E8" s="127">
        <v>1</v>
      </c>
      <c r="F8" s="127">
        <v>100</v>
      </c>
      <c r="G8" s="127">
        <v>100</v>
      </c>
      <c r="H8" s="127">
        <v>100</v>
      </c>
      <c r="I8" s="127">
        <v>100</v>
      </c>
      <c r="J8" s="127">
        <v>1</v>
      </c>
    </row>
    <row r="9" spans="1:10" ht="20.100000000000001" customHeight="1">
      <c r="A9" s="56">
        <v>2</v>
      </c>
      <c r="B9" s="127" t="s">
        <v>249</v>
      </c>
      <c r="C9" s="127">
        <v>46.38</v>
      </c>
      <c r="D9" s="127">
        <v>163.13200000000001</v>
      </c>
      <c r="E9" s="127">
        <v>5</v>
      </c>
      <c r="F9" s="127">
        <v>135</v>
      </c>
      <c r="G9" s="127">
        <v>133</v>
      </c>
      <c r="H9" s="127">
        <v>133</v>
      </c>
      <c r="I9" s="127">
        <v>3517.53</v>
      </c>
      <c r="J9" s="127">
        <v>2</v>
      </c>
    </row>
    <row r="10" spans="1:10" ht="20.100000000000001" customHeight="1">
      <c r="A10" s="56">
        <v>3</v>
      </c>
      <c r="B10" s="127" t="s">
        <v>1043</v>
      </c>
      <c r="C10" s="127">
        <v>23</v>
      </c>
      <c r="D10" s="127">
        <v>4.048</v>
      </c>
      <c r="E10" s="127">
        <v>4</v>
      </c>
      <c r="F10" s="127">
        <v>176</v>
      </c>
      <c r="G10" s="127">
        <v>176</v>
      </c>
      <c r="H10" s="127">
        <v>176</v>
      </c>
      <c r="I10" s="127">
        <v>176</v>
      </c>
      <c r="J10" s="127">
        <v>1</v>
      </c>
    </row>
    <row r="11" spans="1:10" ht="20.100000000000001" customHeight="1">
      <c r="A11" s="56">
        <v>4</v>
      </c>
      <c r="B11" s="127" t="s">
        <v>311</v>
      </c>
      <c r="C11" s="127">
        <v>23.33</v>
      </c>
      <c r="D11" s="127">
        <v>2.3330000000000002</v>
      </c>
      <c r="E11" s="127">
        <v>2</v>
      </c>
      <c r="F11" s="127">
        <v>100</v>
      </c>
      <c r="G11" s="127">
        <v>100</v>
      </c>
      <c r="H11" s="127">
        <v>100</v>
      </c>
      <c r="I11" s="127">
        <v>100</v>
      </c>
      <c r="J11" s="127">
        <v>2</v>
      </c>
    </row>
    <row r="12" spans="1:10" ht="20.100000000000001" customHeight="1">
      <c r="A12" s="56">
        <v>5</v>
      </c>
      <c r="B12" s="127" t="s">
        <v>185</v>
      </c>
      <c r="C12" s="127">
        <v>91.91</v>
      </c>
      <c r="D12" s="127">
        <v>119.523</v>
      </c>
      <c r="E12" s="127">
        <v>119</v>
      </c>
      <c r="F12" s="127">
        <v>1455</v>
      </c>
      <c r="G12" s="127">
        <v>1275</v>
      </c>
      <c r="H12" s="127">
        <v>1300</v>
      </c>
      <c r="I12" s="127">
        <v>1300.42</v>
      </c>
      <c r="J12" s="127">
        <v>18</v>
      </c>
    </row>
    <row r="13" spans="1:10" ht="20.100000000000001" customHeight="1">
      <c r="A13" s="56">
        <v>6</v>
      </c>
      <c r="B13" s="127" t="s">
        <v>1044</v>
      </c>
      <c r="C13" s="127">
        <v>35.67</v>
      </c>
      <c r="D13" s="127">
        <v>3.6389999999999998</v>
      </c>
      <c r="E13" s="127">
        <v>1</v>
      </c>
      <c r="F13" s="127">
        <v>102</v>
      </c>
      <c r="G13" s="127">
        <v>102</v>
      </c>
      <c r="H13" s="127">
        <v>102</v>
      </c>
      <c r="I13" s="127">
        <v>102</v>
      </c>
      <c r="J13" s="127">
        <v>1</v>
      </c>
    </row>
    <row r="14" spans="1:10" ht="20.100000000000001" customHeight="1">
      <c r="A14" s="56">
        <v>7</v>
      </c>
      <c r="B14" s="127" t="s">
        <v>1005</v>
      </c>
      <c r="C14" s="127">
        <v>20.079999999999998</v>
      </c>
      <c r="D14" s="127">
        <v>12.311999999999999</v>
      </c>
      <c r="E14" s="127">
        <v>2</v>
      </c>
      <c r="F14" s="127">
        <v>620</v>
      </c>
      <c r="G14" s="127">
        <v>608</v>
      </c>
      <c r="H14" s="127">
        <v>608</v>
      </c>
      <c r="I14" s="127">
        <v>613.13</v>
      </c>
      <c r="J14" s="127">
        <v>2</v>
      </c>
    </row>
    <row r="15" spans="1:10" ht="20.100000000000001" customHeight="1">
      <c r="A15" s="56">
        <v>8</v>
      </c>
      <c r="B15" s="127" t="s">
        <v>1045</v>
      </c>
      <c r="C15" s="127">
        <v>1.88</v>
      </c>
      <c r="D15" s="127">
        <v>3.234</v>
      </c>
      <c r="E15" s="127">
        <v>1</v>
      </c>
      <c r="F15" s="127">
        <v>1725</v>
      </c>
      <c r="G15" s="127">
        <v>1725</v>
      </c>
      <c r="H15" s="127">
        <v>1725</v>
      </c>
      <c r="I15" s="127">
        <v>1725</v>
      </c>
      <c r="J15" s="127">
        <v>1</v>
      </c>
    </row>
    <row r="16" spans="1:10" ht="20.100000000000001" customHeight="1">
      <c r="A16" s="56">
        <v>9</v>
      </c>
      <c r="B16" s="127" t="s">
        <v>1006</v>
      </c>
      <c r="C16" s="127">
        <v>208.4</v>
      </c>
      <c r="D16" s="127">
        <v>30.382000000000001</v>
      </c>
      <c r="E16" s="127">
        <v>18</v>
      </c>
      <c r="F16" s="127">
        <v>148</v>
      </c>
      <c r="G16" s="127">
        <v>143</v>
      </c>
      <c r="H16" s="127">
        <v>148</v>
      </c>
      <c r="I16" s="127">
        <v>145.78</v>
      </c>
      <c r="J16" s="127">
        <v>5</v>
      </c>
    </row>
    <row r="17" spans="1:11" ht="20.100000000000001" customHeight="1">
      <c r="A17" s="56">
        <v>10</v>
      </c>
      <c r="B17" s="127" t="s">
        <v>1007</v>
      </c>
      <c r="C17" s="127">
        <v>19.45</v>
      </c>
      <c r="D17" s="127">
        <v>1.9450000000000001</v>
      </c>
      <c r="E17" s="127">
        <v>8</v>
      </c>
      <c r="F17" s="127">
        <v>100</v>
      </c>
      <c r="G17" s="127">
        <v>100</v>
      </c>
      <c r="H17" s="127">
        <v>100</v>
      </c>
      <c r="I17" s="127">
        <v>100</v>
      </c>
      <c r="J17" s="127">
        <v>2</v>
      </c>
    </row>
    <row r="18" spans="1:11" ht="20.100000000000001" customHeight="1">
      <c r="A18" s="56">
        <v>11</v>
      </c>
      <c r="B18" s="127" t="s">
        <v>1046</v>
      </c>
      <c r="C18" s="127">
        <v>8.6</v>
      </c>
      <c r="D18" s="127">
        <v>0.877</v>
      </c>
      <c r="E18" s="127">
        <v>1</v>
      </c>
      <c r="F18" s="127">
        <v>102</v>
      </c>
      <c r="G18" s="127">
        <v>102</v>
      </c>
      <c r="H18" s="127">
        <v>102</v>
      </c>
      <c r="I18" s="127">
        <v>102</v>
      </c>
      <c r="J18" s="127">
        <v>1</v>
      </c>
    </row>
    <row r="19" spans="1:11" ht="20.100000000000001" customHeight="1">
      <c r="A19" s="56"/>
      <c r="B19" s="127" t="s">
        <v>61</v>
      </c>
      <c r="C19" s="127">
        <v>493.64</v>
      </c>
      <c r="D19" s="127">
        <v>342.91899999999998</v>
      </c>
      <c r="E19" s="127">
        <v>162</v>
      </c>
      <c r="F19" s="127"/>
      <c r="G19" s="127"/>
      <c r="H19" s="127"/>
      <c r="I19" s="127"/>
      <c r="J19" s="127"/>
      <c r="K19" s="127"/>
    </row>
    <row r="20" spans="1:11" ht="20.100000000000001" customHeight="1">
      <c r="A20" s="56"/>
      <c r="B20" s="127"/>
      <c r="C20" s="127"/>
      <c r="D20" s="127"/>
      <c r="E20" s="127"/>
      <c r="F20" s="127"/>
      <c r="G20" s="127"/>
      <c r="H20" s="127"/>
      <c r="I20" s="127"/>
    </row>
    <row r="21" spans="1:11" ht="20.100000000000001" customHeight="1">
      <c r="A21" s="56"/>
      <c r="B21" s="127"/>
      <c r="C21" s="127"/>
      <c r="D21" s="127"/>
      <c r="E21" s="127"/>
      <c r="F21" s="127"/>
      <c r="G21" s="127"/>
      <c r="H21" s="127"/>
      <c r="I21" s="127"/>
    </row>
    <row r="22" spans="1:11" ht="20.100000000000001" customHeight="1">
      <c r="A22" s="56"/>
      <c r="B22" s="127"/>
      <c r="C22" s="127"/>
      <c r="D22" s="127"/>
      <c r="E22" s="127"/>
      <c r="F22" s="127"/>
      <c r="G22" s="127"/>
      <c r="H22" s="127"/>
      <c r="I22" s="127"/>
    </row>
    <row r="23" spans="1:11" ht="20.100000000000001" customHeight="1">
      <c r="A23" s="56"/>
      <c r="B23" s="127"/>
      <c r="C23" s="127"/>
      <c r="D23" s="127"/>
      <c r="E23" s="127"/>
      <c r="F23" s="127"/>
      <c r="G23" s="127"/>
      <c r="H23" s="127"/>
      <c r="I23" s="127"/>
    </row>
    <row r="24" spans="1:11" ht="20.100000000000001" customHeight="1">
      <c r="A24" s="56"/>
      <c r="B24" s="127"/>
      <c r="C24" s="127"/>
      <c r="D24" s="127"/>
      <c r="E24" s="127"/>
      <c r="F24" s="127"/>
      <c r="G24" s="127"/>
      <c r="H24" s="127"/>
      <c r="I24" s="127"/>
    </row>
    <row r="25" spans="1:11" ht="20.100000000000001" customHeight="1">
      <c r="A25" s="56"/>
      <c r="B25" s="127"/>
      <c r="C25" s="127"/>
      <c r="D25" s="127"/>
      <c r="E25" s="127"/>
      <c r="F25" s="127"/>
      <c r="G25" s="127"/>
      <c r="H25" s="127"/>
      <c r="I25" s="127"/>
    </row>
    <row r="26" spans="1:11" ht="20.100000000000001" customHeight="1">
      <c r="A26" s="29"/>
      <c r="B26" s="41"/>
      <c r="C26" s="128"/>
      <c r="D26" s="128"/>
      <c r="E26" s="129"/>
      <c r="F26" s="129"/>
      <c r="G26" s="129"/>
      <c r="H26" s="129"/>
      <c r="I26" s="128"/>
    </row>
    <row r="28" spans="1:11">
      <c r="D28" s="66"/>
    </row>
  </sheetData>
  <mergeCells count="6">
    <mergeCell ref="B5:B7"/>
    <mergeCell ref="A5:A7"/>
    <mergeCell ref="A1:J1"/>
    <mergeCell ref="A3:J3"/>
    <mergeCell ref="A2:J2"/>
    <mergeCell ref="B4:J4"/>
  </mergeCells>
  <phoneticPr fontId="41" type="noConversion"/>
  <pageMargins left="0.28000000000000003" right="0.35" top="0.39" bottom="0.32" header="0.2" footer="0.19"/>
  <pageSetup paperSize="9" firstPageNumber="10" orientation="landscape" useFirstPageNumber="1" r:id="rId1"/>
  <headerFooter alignWithMargins="0">
    <oddHeader>&amp;LTable 1.4</oddHeader>
    <oddFooter>&amp;RPage &amp;P</oddFooter>
  </headerFooter>
</worksheet>
</file>

<file path=xl/worksheets/sheet6.xml><?xml version="1.0" encoding="utf-8"?>
<worksheet xmlns="http://schemas.openxmlformats.org/spreadsheetml/2006/main" xmlns:r="http://schemas.openxmlformats.org/officeDocument/2006/relationships">
  <sheetPr codeName="Sheet8"/>
  <dimension ref="A2:K28"/>
  <sheetViews>
    <sheetView topLeftCell="A4" zoomScale="115" zoomScaleNormal="115" workbookViewId="0">
      <selection activeCell="D6" sqref="D6:D25"/>
    </sheetView>
  </sheetViews>
  <sheetFormatPr defaultRowHeight="12.75"/>
  <cols>
    <col min="1" max="1" width="11.7109375" bestFit="1" customWidth="1"/>
    <col min="2" max="2" width="11.5703125" customWidth="1"/>
    <col min="3" max="3" width="9.5703125" bestFit="1" customWidth="1"/>
    <col min="4" max="4" width="10.140625" bestFit="1" customWidth="1"/>
    <col min="5" max="5" width="11.140625" customWidth="1"/>
    <col min="6" max="6" width="9.7109375" bestFit="1" customWidth="1"/>
    <col min="7" max="7" width="9.42578125" bestFit="1" customWidth="1"/>
    <col min="8" max="8" width="9.7109375" bestFit="1" customWidth="1"/>
    <col min="9" max="9" width="10.140625" customWidth="1"/>
    <col min="10" max="10" width="9.5703125" customWidth="1"/>
    <col min="11" max="11" width="12.42578125" bestFit="1" customWidth="1"/>
  </cols>
  <sheetData>
    <row r="2" spans="1:11" ht="22.5">
      <c r="A2" s="344" t="s">
        <v>238</v>
      </c>
      <c r="B2" s="344"/>
      <c r="C2" s="344"/>
      <c r="D2" s="344"/>
      <c r="E2" s="344"/>
      <c r="F2" s="344"/>
      <c r="G2" s="344"/>
      <c r="H2" s="344"/>
      <c r="I2" s="344"/>
      <c r="J2" s="344"/>
      <c r="K2" s="344"/>
    </row>
    <row r="3" spans="1:11" ht="15.75">
      <c r="A3" s="334" t="s">
        <v>1047</v>
      </c>
      <c r="B3" s="334"/>
      <c r="C3" s="334"/>
      <c r="D3" s="334"/>
      <c r="E3" s="334"/>
      <c r="F3" s="334"/>
      <c r="G3" s="334"/>
      <c r="H3" s="334"/>
      <c r="I3" s="334"/>
      <c r="J3" s="334"/>
      <c r="K3" s="334"/>
    </row>
    <row r="4" spans="1:11">
      <c r="A4" s="345" t="s">
        <v>63</v>
      </c>
      <c r="B4" s="38" t="s">
        <v>64</v>
      </c>
      <c r="C4" s="38" t="s">
        <v>81</v>
      </c>
      <c r="D4" s="38" t="s">
        <v>29</v>
      </c>
      <c r="E4" s="38" t="s">
        <v>6</v>
      </c>
      <c r="F4" s="38" t="s">
        <v>73</v>
      </c>
      <c r="G4" s="38" t="s">
        <v>62</v>
      </c>
      <c r="H4" s="38" t="s">
        <v>33</v>
      </c>
      <c r="I4" s="38" t="s">
        <v>13</v>
      </c>
      <c r="J4" s="38" t="s">
        <v>47</v>
      </c>
      <c r="K4" s="38" t="s">
        <v>61</v>
      </c>
    </row>
    <row r="5" spans="1:11">
      <c r="A5" s="346"/>
      <c r="B5" s="38" t="s">
        <v>2</v>
      </c>
      <c r="C5" s="38" t="s">
        <v>82</v>
      </c>
      <c r="D5" s="38"/>
      <c r="E5" s="38"/>
      <c r="F5" s="38" t="s">
        <v>74</v>
      </c>
      <c r="G5" s="38"/>
      <c r="H5" s="38"/>
      <c r="I5" s="38"/>
      <c r="J5" s="38" t="s">
        <v>2</v>
      </c>
      <c r="K5" s="38" t="s">
        <v>117</v>
      </c>
    </row>
    <row r="6" spans="1:11">
      <c r="A6" s="154">
        <v>41624</v>
      </c>
      <c r="B6" s="155">
        <v>462958.75754800002</v>
      </c>
      <c r="C6" s="155">
        <v>16388.024786000002</v>
      </c>
      <c r="D6" s="155">
        <v>14334.699782</v>
      </c>
      <c r="E6" s="155">
        <v>100518.4231875</v>
      </c>
      <c r="F6" s="155">
        <v>50688.358912000003</v>
      </c>
      <c r="G6" s="155">
        <v>981.77238499999999</v>
      </c>
      <c r="H6" s="155">
        <v>60887.792383</v>
      </c>
      <c r="I6" s="155">
        <v>27675.861274999999</v>
      </c>
      <c r="J6" s="155">
        <v>48238.388094000002</v>
      </c>
      <c r="K6" s="155">
        <v>782672.0783525001</v>
      </c>
    </row>
    <row r="7" spans="1:11">
      <c r="A7" s="154">
        <v>41626</v>
      </c>
      <c r="B7" s="155">
        <v>490132.47935799998</v>
      </c>
      <c r="C7" s="155">
        <v>16388.024786000002</v>
      </c>
      <c r="D7" s="155">
        <v>14550.39731</v>
      </c>
      <c r="E7" s="155">
        <v>105018.4231875</v>
      </c>
      <c r="F7" s="155">
        <v>52680.371705999998</v>
      </c>
      <c r="G7" s="155">
        <v>998.47998500000006</v>
      </c>
      <c r="H7" s="155">
        <v>61940.428305000001</v>
      </c>
      <c r="I7" s="155">
        <v>28220.663584000002</v>
      </c>
      <c r="J7" s="155">
        <v>49052.138733</v>
      </c>
      <c r="K7" s="155">
        <v>818981.40695449989</v>
      </c>
    </row>
    <row r="8" spans="1:11">
      <c r="A8" s="154">
        <v>41627</v>
      </c>
      <c r="B8" s="155">
        <v>487195.14892299997</v>
      </c>
      <c r="C8" s="155">
        <v>16388.024786000002</v>
      </c>
      <c r="D8" s="155">
        <v>14976.530793</v>
      </c>
      <c r="E8" s="155">
        <v>105018.4231875</v>
      </c>
      <c r="F8" s="155">
        <v>52607.927576000002</v>
      </c>
      <c r="G8" s="155">
        <v>998.47998500000006</v>
      </c>
      <c r="H8" s="155">
        <v>62831.014002000004</v>
      </c>
      <c r="I8" s="155">
        <v>28771.542240999999</v>
      </c>
      <c r="J8" s="155">
        <v>48859.082632999998</v>
      </c>
      <c r="K8" s="155">
        <v>817646.17412649991</v>
      </c>
    </row>
    <row r="9" spans="1:11">
      <c r="A9" s="154">
        <v>41628</v>
      </c>
      <c r="B9" s="155">
        <v>487195.14892299997</v>
      </c>
      <c r="C9" s="155">
        <v>16388.024786000002</v>
      </c>
      <c r="D9" s="155">
        <v>14976.530793</v>
      </c>
      <c r="E9" s="155">
        <v>105018.4231875</v>
      </c>
      <c r="F9" s="155">
        <v>52607.927576000002</v>
      </c>
      <c r="G9" s="155">
        <v>998.47998500000006</v>
      </c>
      <c r="H9" s="155">
        <v>62831.014002000004</v>
      </c>
      <c r="I9" s="155">
        <v>27206.994841</v>
      </c>
      <c r="J9" s="155">
        <v>51042.080032999998</v>
      </c>
      <c r="K9" s="155">
        <v>818264.62412649987</v>
      </c>
    </row>
    <row r="10" spans="1:11">
      <c r="A10" s="154">
        <v>41630</v>
      </c>
      <c r="B10" s="155">
        <v>476799.250306</v>
      </c>
      <c r="C10" s="155">
        <v>16388.024786000002</v>
      </c>
      <c r="D10" s="155">
        <v>15152.04088</v>
      </c>
      <c r="E10" s="155">
        <v>104718.4231875</v>
      </c>
      <c r="F10" s="155">
        <v>51455.473114</v>
      </c>
      <c r="G10" s="155">
        <v>998.47998500000006</v>
      </c>
      <c r="H10" s="155">
        <v>63795.613555000004</v>
      </c>
      <c r="I10" s="155">
        <v>27388.139295000001</v>
      </c>
      <c r="J10" s="155">
        <v>50945.770848</v>
      </c>
      <c r="K10" s="155">
        <v>807641.21595650003</v>
      </c>
    </row>
    <row r="11" spans="1:11">
      <c r="A11" s="154">
        <v>41631</v>
      </c>
      <c r="B11" s="155">
        <v>454659.95787899999</v>
      </c>
      <c r="C11" s="155">
        <v>16388.024786000002</v>
      </c>
      <c r="D11" s="155">
        <v>15071.853439</v>
      </c>
      <c r="E11" s="155">
        <v>99768.423187499997</v>
      </c>
      <c r="F11" s="155">
        <v>50606.151436</v>
      </c>
      <c r="G11" s="155">
        <v>998.47998500000006</v>
      </c>
      <c r="H11" s="155">
        <v>65661.737399999998</v>
      </c>
      <c r="I11" s="155">
        <v>27521.295319000001</v>
      </c>
      <c r="J11" s="155">
        <v>50476.768789000002</v>
      </c>
      <c r="K11" s="155">
        <v>781152.69222050009</v>
      </c>
    </row>
    <row r="12" spans="1:11">
      <c r="A12" s="154">
        <v>41632</v>
      </c>
      <c r="B12" s="155">
        <v>460106.71607299999</v>
      </c>
      <c r="C12" s="155">
        <v>16388.024786000002</v>
      </c>
      <c r="D12" s="155">
        <v>15046.853439</v>
      </c>
      <c r="E12" s="155">
        <v>102018.4231875</v>
      </c>
      <c r="F12" s="155">
        <v>50686.297225000002</v>
      </c>
      <c r="G12" s="155">
        <v>998.47998500000006</v>
      </c>
      <c r="H12" s="155">
        <v>65993.395644000004</v>
      </c>
      <c r="I12" s="155">
        <v>27706.356981000001</v>
      </c>
      <c r="J12" s="155">
        <v>50505.269937999998</v>
      </c>
      <c r="K12" s="155">
        <v>789449.81725850014</v>
      </c>
    </row>
    <row r="13" spans="1:11">
      <c r="A13" s="154">
        <v>41634</v>
      </c>
      <c r="B13" s="155">
        <v>468570.22918199998</v>
      </c>
      <c r="C13" s="155">
        <v>16576.768285999999</v>
      </c>
      <c r="D13" s="155">
        <v>15041.953689</v>
      </c>
      <c r="E13" s="155">
        <v>102018.4231875</v>
      </c>
      <c r="F13" s="155">
        <v>51163.759277999998</v>
      </c>
      <c r="G13" s="155">
        <v>998.47998500000006</v>
      </c>
      <c r="H13" s="155">
        <v>66708.402807999999</v>
      </c>
      <c r="I13" s="155">
        <v>27633.838309999999</v>
      </c>
      <c r="J13" s="155">
        <v>51071.434921</v>
      </c>
      <c r="K13" s="155">
        <v>799783.28964650002</v>
      </c>
    </row>
    <row r="14" spans="1:11">
      <c r="A14" s="154">
        <v>41637</v>
      </c>
      <c r="B14" s="155">
        <v>465008.80067500001</v>
      </c>
      <c r="C14" s="155">
        <v>16576.768285999999</v>
      </c>
      <c r="D14" s="155">
        <v>14665.733015</v>
      </c>
      <c r="E14" s="155">
        <v>100518.4231875</v>
      </c>
      <c r="F14" s="155">
        <v>50648.441423999997</v>
      </c>
      <c r="G14" s="155">
        <v>998.47998500000006</v>
      </c>
      <c r="H14" s="155">
        <v>65288.020140000001</v>
      </c>
      <c r="I14" s="155">
        <v>27616.019575999999</v>
      </c>
      <c r="J14" s="155">
        <v>51121.548648999997</v>
      </c>
      <c r="K14" s="155">
        <v>792442.23493750009</v>
      </c>
    </row>
    <row r="15" spans="1:11">
      <c r="A15" s="154">
        <v>41639</v>
      </c>
      <c r="B15" s="155">
        <v>457809.28634599998</v>
      </c>
      <c r="C15" s="155">
        <v>16576.768285999999</v>
      </c>
      <c r="D15" s="155">
        <v>14362.036348</v>
      </c>
      <c r="E15" s="155">
        <v>100368.4231875</v>
      </c>
      <c r="F15" s="155">
        <v>49458.822182999997</v>
      </c>
      <c r="G15" s="155">
        <v>998.47998500000006</v>
      </c>
      <c r="H15" s="155">
        <v>65259.043021999998</v>
      </c>
      <c r="I15" s="155">
        <v>27525.388006000001</v>
      </c>
      <c r="J15" s="155">
        <v>50975.979738000002</v>
      </c>
      <c r="K15" s="155">
        <v>783334.22710149991</v>
      </c>
    </row>
    <row r="16" spans="1:11">
      <c r="A16" s="154">
        <v>41640</v>
      </c>
      <c r="B16" s="155">
        <v>447748.51607200003</v>
      </c>
      <c r="C16" s="155">
        <v>16576.768285999999</v>
      </c>
      <c r="D16" s="155">
        <v>14401.936098</v>
      </c>
      <c r="E16" s="155">
        <v>98268.423187499997</v>
      </c>
      <c r="F16" s="155">
        <v>47921.490116000001</v>
      </c>
      <c r="G16" s="155">
        <v>998.47998500000006</v>
      </c>
      <c r="H16" s="155">
        <v>63099.775163999999</v>
      </c>
      <c r="I16" s="155">
        <v>27471.309915999998</v>
      </c>
      <c r="J16" s="155">
        <v>50306.184455000002</v>
      </c>
      <c r="K16" s="155">
        <v>766792.88327949995</v>
      </c>
    </row>
    <row r="17" spans="1:11">
      <c r="A17" s="154">
        <v>41641</v>
      </c>
      <c r="B17" s="155">
        <v>452739.23562400002</v>
      </c>
      <c r="C17" s="155">
        <v>16576.768285999999</v>
      </c>
      <c r="D17" s="155">
        <v>14892.581389999999</v>
      </c>
      <c r="E17" s="155">
        <v>100218.4231875</v>
      </c>
      <c r="F17" s="155">
        <v>48287.914146000003</v>
      </c>
      <c r="G17" s="155">
        <v>998.47998500000006</v>
      </c>
      <c r="H17" s="155">
        <v>64480.620647999996</v>
      </c>
      <c r="I17" s="155">
        <v>27403.871434000001</v>
      </c>
      <c r="J17" s="155">
        <v>50203.248428999999</v>
      </c>
      <c r="K17" s="155">
        <v>775801.14312950009</v>
      </c>
    </row>
    <row r="18" spans="1:11">
      <c r="A18" s="154">
        <v>41644</v>
      </c>
      <c r="B18" s="155">
        <v>449791.16435199999</v>
      </c>
      <c r="C18" s="155">
        <v>16576.768285999999</v>
      </c>
      <c r="D18" s="155">
        <v>14144.26391</v>
      </c>
      <c r="E18" s="155">
        <v>99018.423187499997</v>
      </c>
      <c r="F18" s="155">
        <v>48075.280303</v>
      </c>
      <c r="G18" s="155">
        <v>997.98858499999994</v>
      </c>
      <c r="H18" s="155">
        <v>64312.913926000001</v>
      </c>
      <c r="I18" s="155">
        <v>27433.044679999999</v>
      </c>
      <c r="J18" s="155">
        <v>50027.083359999997</v>
      </c>
      <c r="K18" s="155">
        <v>770376.93058950012</v>
      </c>
    </row>
    <row r="19" spans="1:11">
      <c r="A19" s="154">
        <v>41645</v>
      </c>
      <c r="B19" s="155">
        <v>448235.74783399998</v>
      </c>
      <c r="C19" s="155">
        <v>16534.418286</v>
      </c>
      <c r="D19" s="155">
        <v>14501.535180999999</v>
      </c>
      <c r="E19" s="155">
        <v>99168.423187499997</v>
      </c>
      <c r="F19" s="155">
        <v>47924.687892000002</v>
      </c>
      <c r="G19" s="155">
        <v>980.78958499999999</v>
      </c>
      <c r="H19" s="155">
        <v>63982.241663000001</v>
      </c>
      <c r="I19" s="155">
        <v>27547.113786999998</v>
      </c>
      <c r="J19" s="155">
        <v>50360.650474000002</v>
      </c>
      <c r="K19" s="155">
        <v>769235.60788949986</v>
      </c>
    </row>
    <row r="20" spans="1:11">
      <c r="A20" s="154">
        <v>41645</v>
      </c>
      <c r="B20" s="155">
        <v>451129.82627800002</v>
      </c>
      <c r="C20" s="155">
        <v>16534.418286</v>
      </c>
      <c r="D20" s="155">
        <v>14151.788</v>
      </c>
      <c r="E20" s="155">
        <v>99618.423187499997</v>
      </c>
      <c r="F20" s="155">
        <v>48225.450786000001</v>
      </c>
      <c r="G20" s="155">
        <v>980.78958499999999</v>
      </c>
      <c r="H20" s="155">
        <v>64777.405927</v>
      </c>
      <c r="I20" s="155">
        <v>27390.344016999999</v>
      </c>
      <c r="J20" s="155">
        <v>50762.114505999998</v>
      </c>
      <c r="K20" s="155">
        <v>773570.56057250011</v>
      </c>
    </row>
    <row r="21" spans="1:11">
      <c r="A21" s="154">
        <v>41647</v>
      </c>
      <c r="B21" s="155">
        <v>456909.642505</v>
      </c>
      <c r="C21" s="155">
        <v>16539.258286</v>
      </c>
      <c r="D21" s="155">
        <v>14539.120344000001</v>
      </c>
      <c r="E21" s="155">
        <v>100518.4231875</v>
      </c>
      <c r="F21" s="155">
        <v>48553.747587999998</v>
      </c>
      <c r="G21" s="155">
        <v>980.78958499999999</v>
      </c>
      <c r="H21" s="155">
        <v>66914.612796000001</v>
      </c>
      <c r="I21" s="155">
        <v>27683.202918999999</v>
      </c>
      <c r="J21" s="155">
        <v>51280.243246999999</v>
      </c>
      <c r="K21" s="155">
        <v>783919.04045750003</v>
      </c>
    </row>
    <row r="22" spans="1:11">
      <c r="A22" s="154">
        <v>41648</v>
      </c>
      <c r="B22" s="155">
        <v>456796.632362</v>
      </c>
      <c r="C22" s="155">
        <v>16575.558285999999</v>
      </c>
      <c r="D22" s="155">
        <v>14510.820454999999</v>
      </c>
      <c r="E22" s="155">
        <v>100668.4231875</v>
      </c>
      <c r="F22" s="155">
        <v>48650.263937000003</v>
      </c>
      <c r="G22" s="155">
        <v>980.78958499999999</v>
      </c>
      <c r="H22" s="155">
        <v>67581.136843</v>
      </c>
      <c r="I22" s="155">
        <v>27673.674762999999</v>
      </c>
      <c r="J22" s="155">
        <v>51624.345898</v>
      </c>
      <c r="K22" s="155">
        <v>785061.64531649987</v>
      </c>
    </row>
    <row r="23" spans="1:11">
      <c r="A23" s="154">
        <v>41651</v>
      </c>
      <c r="B23" s="155">
        <v>464371.09924800001</v>
      </c>
      <c r="C23" s="155">
        <v>16575.558285999999</v>
      </c>
      <c r="D23" s="155">
        <v>14488.671329999999</v>
      </c>
      <c r="E23" s="155">
        <v>100068.4231875</v>
      </c>
      <c r="F23" s="155">
        <v>49467.813935999999</v>
      </c>
      <c r="G23" s="155">
        <v>980.78958499999999</v>
      </c>
      <c r="H23" s="155">
        <v>68580.541866</v>
      </c>
      <c r="I23" s="155">
        <v>27903.205514000001</v>
      </c>
      <c r="J23" s="155">
        <v>52149.171661</v>
      </c>
      <c r="K23" s="155">
        <v>794585.27461350011</v>
      </c>
    </row>
    <row r="24" spans="1:11">
      <c r="A24" s="154">
        <v>41652</v>
      </c>
      <c r="B24" s="155">
        <v>462882.27905299998</v>
      </c>
      <c r="C24" s="155">
        <v>16383.131986</v>
      </c>
      <c r="D24" s="155">
        <v>14804.64349</v>
      </c>
      <c r="E24" s="155">
        <v>100068.4231875</v>
      </c>
      <c r="F24" s="155">
        <v>49426.778832000004</v>
      </c>
      <c r="G24" s="155">
        <v>991.60038499999996</v>
      </c>
      <c r="H24" s="155">
        <v>69397.39172</v>
      </c>
      <c r="I24" s="155">
        <v>27853.715276999999</v>
      </c>
      <c r="J24" s="155">
        <v>52941.716205999997</v>
      </c>
      <c r="K24" s="155">
        <v>794749.68013649981</v>
      </c>
    </row>
    <row r="25" spans="1:11">
      <c r="A25" s="154">
        <v>41653</v>
      </c>
      <c r="B25" s="155">
        <v>463810.19527899998</v>
      </c>
      <c r="C25" s="155">
        <v>16383.131986</v>
      </c>
      <c r="D25" s="155">
        <v>15000.166636</v>
      </c>
      <c r="E25" s="155">
        <v>100518.4231875</v>
      </c>
      <c r="F25" s="155">
        <v>50905.111905999998</v>
      </c>
      <c r="G25" s="155">
        <v>991.60038499999996</v>
      </c>
      <c r="H25" s="155">
        <v>70252.013254000005</v>
      </c>
      <c r="I25" s="155">
        <v>28128.942599000002</v>
      </c>
      <c r="J25" s="155">
        <v>53770.754451000001</v>
      </c>
      <c r="K25" s="155">
        <v>799760.33968349989</v>
      </c>
    </row>
    <row r="26" spans="1:11">
      <c r="A26" s="289"/>
      <c r="B26" s="46"/>
      <c r="C26" s="46"/>
      <c r="D26" s="46"/>
      <c r="E26" s="46"/>
      <c r="F26" s="46"/>
      <c r="G26" s="46"/>
      <c r="H26" s="46"/>
      <c r="I26" s="8"/>
      <c r="J26" s="46"/>
      <c r="K26" s="46"/>
    </row>
    <row r="27" spans="1:11">
      <c r="A27" s="8"/>
      <c r="B27" s="8"/>
      <c r="C27" s="8"/>
      <c r="D27" s="8"/>
      <c r="E27" s="8"/>
      <c r="F27" s="8"/>
      <c r="G27" s="8"/>
      <c r="H27" s="8"/>
      <c r="I27" s="8"/>
      <c r="J27" s="8"/>
      <c r="K27" s="8"/>
    </row>
    <row r="28" spans="1:11">
      <c r="A28" s="8"/>
      <c r="B28" s="8"/>
      <c r="C28" s="8"/>
      <c r="D28" s="8"/>
      <c r="E28" s="8"/>
      <c r="F28" s="8"/>
      <c r="G28" s="8"/>
      <c r="H28" s="8"/>
      <c r="I28" s="8"/>
      <c r="J28" s="8"/>
      <c r="K28" s="8"/>
    </row>
  </sheetData>
  <mergeCells count="3">
    <mergeCell ref="A2:K2"/>
    <mergeCell ref="A3:K3"/>
    <mergeCell ref="A4:A5"/>
  </mergeCells>
  <phoneticPr fontId="0" type="noConversion"/>
  <pageMargins left="0.5" right="0.25" top="0.64" bottom="0.69" header="0.31" footer="0.28999999999999998"/>
  <pageSetup scale="95" firstPageNumber="12" orientation="landscape" useFirstPageNumber="1" horizontalDpi="300" verticalDpi="300" r:id="rId1"/>
  <headerFooter alignWithMargins="0">
    <oddHeader>&amp;LTable 1.6</oddHeader>
    <oddFooter>&amp;RPage &amp;P</oddFooter>
  </headerFooter>
</worksheet>
</file>

<file path=xl/worksheets/sheet7.xml><?xml version="1.0" encoding="utf-8"?>
<worksheet xmlns="http://schemas.openxmlformats.org/spreadsheetml/2006/main" xmlns:r="http://schemas.openxmlformats.org/officeDocument/2006/relationships">
  <sheetPr codeName="Sheet7"/>
  <dimension ref="A1:AJ262"/>
  <sheetViews>
    <sheetView showGridLines="0" topLeftCell="A10" zoomScale="130" zoomScaleNormal="130" workbookViewId="0">
      <selection activeCell="H31" sqref="H31"/>
    </sheetView>
  </sheetViews>
  <sheetFormatPr defaultColWidth="9.140625" defaultRowHeight="12.75"/>
  <cols>
    <col min="1" max="1" width="9.7109375" style="230" bestFit="1" customWidth="1"/>
    <col min="2" max="11" width="9.140625" style="230"/>
    <col min="12" max="12" width="12" style="230" bestFit="1" customWidth="1"/>
    <col min="13" max="13" width="10" style="230" customWidth="1"/>
    <col min="14" max="14" width="9.28515625" style="230" bestFit="1" customWidth="1"/>
    <col min="15" max="15" width="8.5703125" style="230" customWidth="1"/>
    <col min="16" max="16" width="8.85546875" style="230" customWidth="1"/>
    <col min="17" max="17" width="8.5703125" style="230" customWidth="1"/>
    <col min="18" max="18" width="8.5703125" style="230" bestFit="1" customWidth="1"/>
    <col min="19" max="19" width="10" style="230" bestFit="1" customWidth="1"/>
    <col min="20" max="20" width="8.7109375" style="230" bestFit="1" customWidth="1"/>
    <col min="21" max="21" width="9.42578125" style="230" customWidth="1"/>
    <col min="22" max="22" width="9.42578125" style="230" bestFit="1" customWidth="1"/>
    <col min="23" max="16384" width="9.140625" style="230"/>
  </cols>
  <sheetData>
    <row r="1" spans="1:21" ht="25.5" customHeight="1">
      <c r="A1" s="333" t="s">
        <v>114</v>
      </c>
      <c r="B1" s="333"/>
      <c r="C1" s="333"/>
      <c r="D1" s="333"/>
      <c r="E1" s="333"/>
      <c r="F1" s="333"/>
      <c r="G1" s="333"/>
      <c r="H1" s="333"/>
      <c r="I1" s="333"/>
      <c r="J1" s="333"/>
      <c r="K1" s="333"/>
      <c r="L1" s="8"/>
      <c r="M1" s="8"/>
      <c r="N1" s="8"/>
      <c r="O1" s="8"/>
      <c r="P1" s="8"/>
      <c r="Q1" s="8"/>
      <c r="R1" s="8"/>
      <c r="S1" s="8"/>
      <c r="T1" s="8"/>
      <c r="U1" s="291"/>
    </row>
    <row r="2" spans="1:21" ht="15.75">
      <c r="A2" s="334" t="s">
        <v>1047</v>
      </c>
      <c r="B2" s="334"/>
      <c r="C2" s="334"/>
      <c r="D2" s="334"/>
      <c r="E2" s="334"/>
      <c r="F2" s="334"/>
      <c r="G2" s="334"/>
      <c r="H2" s="334"/>
      <c r="I2" s="334"/>
      <c r="J2" s="334"/>
      <c r="K2" s="334"/>
      <c r="L2" s="8"/>
      <c r="M2" s="8"/>
      <c r="N2" s="8"/>
      <c r="O2" s="8"/>
      <c r="P2" s="8"/>
      <c r="Q2" s="8"/>
      <c r="R2" s="8"/>
      <c r="S2" s="8"/>
      <c r="T2" s="8"/>
      <c r="U2" s="291"/>
    </row>
    <row r="3" spans="1:21">
      <c r="A3" s="347" t="s">
        <v>63</v>
      </c>
      <c r="B3" s="13" t="s">
        <v>64</v>
      </c>
      <c r="C3" s="38" t="s">
        <v>81</v>
      </c>
      <c r="D3" s="13" t="s">
        <v>29</v>
      </c>
      <c r="E3" s="13" t="s">
        <v>16</v>
      </c>
      <c r="F3" s="13" t="s">
        <v>73</v>
      </c>
      <c r="G3" s="13" t="s">
        <v>5</v>
      </c>
      <c r="H3" s="13" t="s">
        <v>33</v>
      </c>
      <c r="I3" s="13" t="s">
        <v>13</v>
      </c>
      <c r="J3" s="13" t="s">
        <v>47</v>
      </c>
      <c r="K3" s="13" t="s">
        <v>110</v>
      </c>
      <c r="L3" s="8"/>
      <c r="M3" s="8"/>
      <c r="N3" s="8"/>
      <c r="O3" s="8"/>
      <c r="P3" s="8"/>
      <c r="Q3" s="8"/>
      <c r="R3" s="8"/>
      <c r="S3" s="8"/>
      <c r="T3" s="8"/>
      <c r="U3" s="291"/>
    </row>
    <row r="4" spans="1:21">
      <c r="A4" s="347"/>
      <c r="B4" s="13" t="s">
        <v>2</v>
      </c>
      <c r="C4" s="38" t="s">
        <v>82</v>
      </c>
      <c r="D4" s="107"/>
      <c r="E4" s="108"/>
      <c r="F4" s="13" t="s">
        <v>74</v>
      </c>
      <c r="G4" s="108"/>
      <c r="H4" s="108"/>
      <c r="I4" s="108"/>
      <c r="J4" s="13" t="s">
        <v>2</v>
      </c>
      <c r="K4" s="109" t="s">
        <v>115</v>
      </c>
      <c r="L4" s="8"/>
      <c r="M4" s="8"/>
      <c r="N4" s="8"/>
      <c r="O4" s="8"/>
      <c r="P4" s="8"/>
      <c r="Q4" s="8"/>
      <c r="R4" s="8"/>
      <c r="S4" s="8"/>
      <c r="T4" s="8"/>
      <c r="U4" s="291"/>
    </row>
    <row r="5" spans="1:21">
      <c r="A5" s="154">
        <v>41624</v>
      </c>
      <c r="B5" s="155">
        <v>785.79453578886773</v>
      </c>
      <c r="C5" s="155">
        <v>923.64678657298714</v>
      </c>
      <c r="D5" s="155">
        <v>1084.3273989969666</v>
      </c>
      <c r="E5" s="155">
        <v>787.14338808758976</v>
      </c>
      <c r="F5" s="155">
        <v>1761.8477202641636</v>
      </c>
      <c r="G5" s="155">
        <v>168.7500124615197</v>
      </c>
      <c r="H5" s="155">
        <v>1951.6965190738586</v>
      </c>
      <c r="I5" s="155">
        <v>316.39680440598136</v>
      </c>
      <c r="J5" s="155">
        <v>422.4379555090116</v>
      </c>
      <c r="K5" s="155">
        <v>770.8998838838952</v>
      </c>
      <c r="L5" s="8"/>
      <c r="M5" s="8"/>
      <c r="N5" s="8"/>
      <c r="O5" s="8"/>
      <c r="P5" s="8"/>
      <c r="Q5" s="8"/>
      <c r="R5" s="8"/>
      <c r="S5" s="8"/>
      <c r="T5" s="8"/>
      <c r="U5" s="291"/>
    </row>
    <row r="6" spans="1:21">
      <c r="A6" s="154">
        <v>41626</v>
      </c>
      <c r="B6" s="155">
        <v>831.91735292367662</v>
      </c>
      <c r="C6" s="155">
        <v>923.64678657298714</v>
      </c>
      <c r="D6" s="155">
        <v>1100.6435230221107</v>
      </c>
      <c r="E6" s="155">
        <v>822.38215461486493</v>
      </c>
      <c r="F6" s="155">
        <v>1831.0869553701768</v>
      </c>
      <c r="G6" s="155">
        <v>171.62176537622619</v>
      </c>
      <c r="H6" s="155">
        <v>1985.4376974679876</v>
      </c>
      <c r="I6" s="155">
        <v>322.62510956648993</v>
      </c>
      <c r="J6" s="155">
        <v>429.56421262115725</v>
      </c>
      <c r="K6" s="155">
        <v>806.66308277314624</v>
      </c>
      <c r="L6" s="8"/>
      <c r="M6" s="8"/>
      <c r="N6" s="8"/>
      <c r="O6" s="8"/>
      <c r="P6" s="8"/>
      <c r="Q6" s="8"/>
      <c r="R6" s="8"/>
      <c r="S6" s="8"/>
      <c r="T6" s="8"/>
      <c r="U6" s="291"/>
    </row>
    <row r="7" spans="1:21">
      <c r="A7" s="154">
        <v>41627</v>
      </c>
      <c r="B7" s="155">
        <v>826.93172911162446</v>
      </c>
      <c r="C7" s="155">
        <v>923.64678657298714</v>
      </c>
      <c r="D7" s="155">
        <v>1132.8777670784198</v>
      </c>
      <c r="E7" s="155">
        <v>822.38215461486493</v>
      </c>
      <c r="F7" s="155">
        <v>1828.5689112269722</v>
      </c>
      <c r="G7" s="155">
        <v>171.62176537622619</v>
      </c>
      <c r="H7" s="155">
        <v>2013.9845200205027</v>
      </c>
      <c r="I7" s="155">
        <v>328.92288093332729</v>
      </c>
      <c r="J7" s="155">
        <v>427.8735627589848</v>
      </c>
      <c r="K7" s="155">
        <v>805.34793322260919</v>
      </c>
      <c r="L7" s="8"/>
      <c r="M7" s="8"/>
      <c r="N7" s="8"/>
      <c r="O7" s="8"/>
      <c r="P7" s="8"/>
      <c r="Q7" s="8"/>
      <c r="R7" s="8"/>
      <c r="S7" s="8"/>
      <c r="T7" s="8"/>
      <c r="U7" s="291"/>
    </row>
    <row r="8" spans="1:21">
      <c r="A8" s="154">
        <v>41628</v>
      </c>
      <c r="B8" s="155">
        <v>826.93172911162446</v>
      </c>
      <c r="C8" s="155">
        <v>923.64678657298714</v>
      </c>
      <c r="D8" s="155">
        <v>1132.8777670784198</v>
      </c>
      <c r="E8" s="155">
        <v>822.38215461486493</v>
      </c>
      <c r="F8" s="155">
        <v>1828.5689112269722</v>
      </c>
      <c r="G8" s="155">
        <v>171.62176537622619</v>
      </c>
      <c r="H8" s="155">
        <v>2013.9845200205027</v>
      </c>
      <c r="I8" s="155">
        <v>318.10443116621951</v>
      </c>
      <c r="J8" s="155">
        <v>436.62629131005212</v>
      </c>
      <c r="K8" s="155">
        <v>805.34859028518429</v>
      </c>
      <c r="L8" s="8"/>
      <c r="M8" s="8"/>
      <c r="N8" s="8"/>
      <c r="O8" s="8"/>
      <c r="P8" s="8"/>
      <c r="Q8" s="8"/>
      <c r="R8" s="8"/>
      <c r="S8" s="8"/>
      <c r="T8" s="8"/>
      <c r="U8" s="291"/>
    </row>
    <row r="9" spans="1:21">
      <c r="A9" s="154">
        <v>41630</v>
      </c>
      <c r="B9" s="155">
        <v>809.28644171902863</v>
      </c>
      <c r="C9" s="155">
        <v>923.64678657298714</v>
      </c>
      <c r="D9" s="155">
        <v>1146.1539709074955</v>
      </c>
      <c r="E9" s="155">
        <v>820.03290351304656</v>
      </c>
      <c r="F9" s="155">
        <v>1788.5114047271459</v>
      </c>
      <c r="G9" s="155">
        <v>171.62176537622619</v>
      </c>
      <c r="H9" s="155">
        <v>2044.9037817675573</v>
      </c>
      <c r="I9" s="155">
        <v>320.21800378290266</v>
      </c>
      <c r="J9" s="155">
        <v>435.76402192454918</v>
      </c>
      <c r="K9" s="155">
        <v>794.88389307943544</v>
      </c>
      <c r="L9" s="8"/>
      <c r="M9" s="8"/>
      <c r="N9" s="8"/>
      <c r="O9" s="8"/>
      <c r="P9" s="8"/>
      <c r="Q9" s="8"/>
      <c r="R9" s="8"/>
      <c r="S9" s="8"/>
      <c r="T9" s="8"/>
      <c r="U9" s="291"/>
    </row>
    <row r="10" spans="1:21">
      <c r="A10" s="154">
        <v>41631</v>
      </c>
      <c r="B10" s="155">
        <v>771.70872074122701</v>
      </c>
      <c r="C10" s="155">
        <v>923.64678657298714</v>
      </c>
      <c r="D10" s="155">
        <v>1140.0883092156523</v>
      </c>
      <c r="E10" s="155">
        <v>781.27026033304389</v>
      </c>
      <c r="F10" s="155">
        <v>1758.9903175530062</v>
      </c>
      <c r="G10" s="155">
        <v>171.62176537622619</v>
      </c>
      <c r="H10" s="155">
        <v>2104.7204916514929</v>
      </c>
      <c r="I10" s="155">
        <v>321.77484398068611</v>
      </c>
      <c r="J10" s="155">
        <v>431.73685506260949</v>
      </c>
      <c r="K10" s="155">
        <v>768.81058726248273</v>
      </c>
      <c r="L10" s="8"/>
      <c r="M10" s="8"/>
      <c r="N10" s="8"/>
      <c r="O10" s="8"/>
      <c r="P10" s="8"/>
      <c r="Q10" s="8"/>
      <c r="R10" s="8"/>
      <c r="S10" s="8"/>
      <c r="T10" s="8"/>
      <c r="U10" s="291"/>
    </row>
    <row r="11" spans="1:21">
      <c r="A11" s="154">
        <v>41632</v>
      </c>
      <c r="B11" s="155">
        <v>780.95367562506385</v>
      </c>
      <c r="C11" s="155">
        <v>923.64678657298714</v>
      </c>
      <c r="D11" s="155">
        <v>1138.1972207807926</v>
      </c>
      <c r="E11" s="155">
        <v>798.88964359668148</v>
      </c>
      <c r="F11" s="155">
        <v>1761.7760592631207</v>
      </c>
      <c r="G11" s="155">
        <v>171.62176537622619</v>
      </c>
      <c r="H11" s="155">
        <v>2115.3514607670309</v>
      </c>
      <c r="I11" s="155">
        <v>323.93560139629159</v>
      </c>
      <c r="J11" s="155">
        <v>431.63075790580206</v>
      </c>
      <c r="K11" s="155">
        <v>776.90355845292277</v>
      </c>
      <c r="L11" s="8"/>
      <c r="M11" s="8"/>
      <c r="N11" s="8"/>
      <c r="O11" s="8"/>
      <c r="P11" s="8"/>
      <c r="Q11" s="8"/>
      <c r="R11" s="8"/>
      <c r="S11" s="8"/>
      <c r="T11" s="8"/>
      <c r="U11" s="291"/>
    </row>
    <row r="12" spans="1:21">
      <c r="A12" s="154">
        <v>41634</v>
      </c>
      <c r="B12" s="155">
        <v>795.31906400188939</v>
      </c>
      <c r="C12" s="155">
        <v>934.28457419767165</v>
      </c>
      <c r="D12" s="155">
        <v>1137.8265863584443</v>
      </c>
      <c r="E12" s="155">
        <v>798.88964359668148</v>
      </c>
      <c r="F12" s="155">
        <v>1778.371890093847</v>
      </c>
      <c r="G12" s="155">
        <v>171.62176537622619</v>
      </c>
      <c r="H12" s="155">
        <v>2138.2702912661521</v>
      </c>
      <c r="I12" s="155">
        <v>323.08773174244448</v>
      </c>
      <c r="J12" s="155">
        <v>436.46934645333397</v>
      </c>
      <c r="K12" s="155">
        <v>787.0728070788723</v>
      </c>
      <c r="L12" s="8"/>
      <c r="M12" s="8"/>
      <c r="N12" s="8"/>
      <c r="O12" s="8"/>
      <c r="P12" s="8"/>
      <c r="Q12" s="8"/>
      <c r="R12" s="8"/>
      <c r="S12" s="8"/>
      <c r="T12" s="8"/>
      <c r="U12" s="291"/>
    </row>
    <row r="13" spans="1:21">
      <c r="A13" s="154">
        <v>41637</v>
      </c>
      <c r="B13" s="155">
        <v>789.21322608339551</v>
      </c>
      <c r="C13" s="155">
        <v>934.28457419767165</v>
      </c>
      <c r="D13" s="155">
        <v>1109.3679237361857</v>
      </c>
      <c r="E13" s="155">
        <v>787.14338808758976</v>
      </c>
      <c r="F13" s="155">
        <v>1760.4602510948898</v>
      </c>
      <c r="G13" s="155">
        <v>171.62176537622619</v>
      </c>
      <c r="H13" s="155">
        <v>2081.509252004168</v>
      </c>
      <c r="I13" s="155">
        <v>322.87939968643406</v>
      </c>
      <c r="J13" s="155">
        <v>435.99818265735667</v>
      </c>
      <c r="K13" s="155">
        <v>779.49922606041412</v>
      </c>
      <c r="L13" s="8"/>
      <c r="M13" s="8"/>
      <c r="N13" s="8"/>
      <c r="O13" s="8"/>
      <c r="P13" s="8"/>
      <c r="Q13" s="8"/>
      <c r="R13" s="8"/>
      <c r="S13" s="8"/>
      <c r="T13" s="8"/>
      <c r="U13" s="291"/>
    </row>
    <row r="14" spans="1:21">
      <c r="A14" s="154">
        <v>41639</v>
      </c>
      <c r="B14" s="155">
        <v>776.99420588081898</v>
      </c>
      <c r="C14" s="155">
        <v>934.28457419767165</v>
      </c>
      <c r="D14" s="155">
        <v>1086.3952335494216</v>
      </c>
      <c r="E14" s="155">
        <v>785.96876253668052</v>
      </c>
      <c r="F14" s="155">
        <v>1719.1109552659013</v>
      </c>
      <c r="G14" s="155">
        <v>171.62176537622619</v>
      </c>
      <c r="H14" s="155">
        <v>2080.5854050398389</v>
      </c>
      <c r="I14" s="155">
        <v>321.82091719417605</v>
      </c>
      <c r="J14" s="155">
        <v>434.70564139598264</v>
      </c>
      <c r="K14" s="155">
        <v>770.52978000060989</v>
      </c>
      <c r="L14" s="8"/>
      <c r="M14" s="8"/>
      <c r="N14" s="8"/>
      <c r="O14" s="8"/>
      <c r="P14" s="8"/>
      <c r="Q14" s="8"/>
      <c r="R14" s="8"/>
      <c r="S14" s="8"/>
      <c r="T14" s="8"/>
      <c r="U14" s="291"/>
    </row>
    <row r="15" spans="1:21">
      <c r="A15" s="154">
        <v>41640</v>
      </c>
      <c r="B15" s="155">
        <v>759.91906030658095</v>
      </c>
      <c r="C15" s="155">
        <v>934.28457419767165</v>
      </c>
      <c r="D15" s="155">
        <v>1089.4133917805732</v>
      </c>
      <c r="E15" s="155">
        <v>769.52400482395217</v>
      </c>
      <c r="F15" s="155">
        <v>1665.6757078901628</v>
      </c>
      <c r="G15" s="155">
        <v>171.62176537622619</v>
      </c>
      <c r="H15" s="155">
        <v>1999.4606685641061</v>
      </c>
      <c r="I15" s="155">
        <v>321.03968157271032</v>
      </c>
      <c r="J15" s="155">
        <v>428.9962312359628</v>
      </c>
      <c r="K15" s="155">
        <v>754.08693887082961</v>
      </c>
      <c r="L15" s="8"/>
      <c r="M15" s="8"/>
      <c r="N15" s="8"/>
      <c r="O15" s="8"/>
      <c r="P15" s="8"/>
      <c r="Q15" s="8"/>
      <c r="R15" s="8"/>
      <c r="S15" s="8"/>
      <c r="T15" s="8"/>
      <c r="U15" s="291"/>
    </row>
    <row r="16" spans="1:21">
      <c r="A16" s="154">
        <v>41641</v>
      </c>
      <c r="B16" s="155">
        <v>769.3080936779686</v>
      </c>
      <c r="C16" s="155">
        <v>934.28457419767165</v>
      </c>
      <c r="D16" s="155">
        <v>1126.5275372733531</v>
      </c>
      <c r="E16" s="155">
        <v>784.79413698577139</v>
      </c>
      <c r="F16" s="155">
        <v>1678.4120314911363</v>
      </c>
      <c r="G16" s="155">
        <v>171.62176537622619</v>
      </c>
      <c r="H16" s="155">
        <v>2043.2159153529653</v>
      </c>
      <c r="I16" s="155">
        <v>320.25157103654635</v>
      </c>
      <c r="J16" s="155">
        <v>428.1184233145151</v>
      </c>
      <c r="K16" s="155">
        <v>763.47427307353291</v>
      </c>
      <c r="L16" s="8"/>
      <c r="M16" s="8"/>
      <c r="N16" s="8"/>
      <c r="O16" s="8"/>
      <c r="P16" s="8"/>
      <c r="Q16" s="8"/>
      <c r="R16" s="8"/>
      <c r="S16" s="8"/>
      <c r="T16" s="8"/>
      <c r="U16" s="291"/>
    </row>
    <row r="17" spans="1:36">
      <c r="A17" s="154">
        <v>41644</v>
      </c>
      <c r="B17" s="155">
        <v>764.298642515285</v>
      </c>
      <c r="C17" s="155">
        <v>934.28457419767165</v>
      </c>
      <c r="D17" s="155">
        <v>1069.9221559921029</v>
      </c>
      <c r="E17" s="155">
        <v>775.39713257849803</v>
      </c>
      <c r="F17" s="155">
        <v>1671.021213173444</v>
      </c>
      <c r="G17" s="155">
        <v>171.5373020552054</v>
      </c>
      <c r="H17" s="155">
        <v>2037.9017443654891</v>
      </c>
      <c r="I17" s="155">
        <v>320.59250015987243</v>
      </c>
      <c r="J17" s="155">
        <v>426.61613981805891</v>
      </c>
      <c r="K17" s="155">
        <v>758.13624700506455</v>
      </c>
      <c r="L17" s="8"/>
      <c r="M17" s="8"/>
      <c r="N17" s="8"/>
      <c r="O17" s="8"/>
      <c r="P17" s="8"/>
      <c r="Q17" s="8"/>
      <c r="R17" s="8"/>
      <c r="S17" s="8"/>
      <c r="T17" s="8"/>
      <c r="U17" s="291"/>
    </row>
    <row r="18" spans="1:36">
      <c r="A18" s="154">
        <v>41645</v>
      </c>
      <c r="B18" s="155">
        <v>761.65563209740378</v>
      </c>
      <c r="C18" s="155">
        <v>931.89768243236381</v>
      </c>
      <c r="D18" s="155">
        <v>1096.9474187399301</v>
      </c>
      <c r="E18" s="155">
        <v>776.57175812940716</v>
      </c>
      <c r="F18" s="155">
        <v>1665.786857559958</v>
      </c>
      <c r="G18" s="155">
        <v>168.58108581947815</v>
      </c>
      <c r="H18" s="155">
        <v>2027.4236375523478</v>
      </c>
      <c r="I18" s="155">
        <v>321.92555307582512</v>
      </c>
      <c r="J18" s="155">
        <v>429.46070130330264</v>
      </c>
      <c r="K18" s="155">
        <v>757.01305902520414</v>
      </c>
      <c r="L18" s="8"/>
      <c r="M18" s="8"/>
      <c r="N18" s="8"/>
      <c r="O18" s="8"/>
      <c r="P18" s="8"/>
      <c r="Q18" s="8"/>
      <c r="R18" s="8"/>
      <c r="S18" s="8"/>
      <c r="T18" s="8"/>
      <c r="U18" s="291"/>
    </row>
    <row r="19" spans="1:36">
      <c r="A19" s="154">
        <v>41645</v>
      </c>
      <c r="B19" s="155">
        <v>766.57333702668723</v>
      </c>
      <c r="C19" s="155">
        <v>931.89768243236381</v>
      </c>
      <c r="D19" s="155">
        <v>1070.4913047753764</v>
      </c>
      <c r="E19" s="155">
        <v>780.09563478213465</v>
      </c>
      <c r="F19" s="155">
        <v>1676.2409032325334</v>
      </c>
      <c r="G19" s="155">
        <v>168.58108581947815</v>
      </c>
      <c r="H19" s="155">
        <v>2052.6202355874989</v>
      </c>
      <c r="I19" s="155">
        <v>320.09348473998961</v>
      </c>
      <c r="J19" s="155">
        <v>432.88426758189519</v>
      </c>
      <c r="K19" s="155">
        <v>761.27913271918089</v>
      </c>
      <c r="L19" s="8"/>
      <c r="M19" s="8"/>
      <c r="N19" s="8"/>
      <c r="O19" s="8"/>
      <c r="P19" s="8"/>
      <c r="Q19" s="8"/>
      <c r="R19" s="8"/>
      <c r="S19" s="8"/>
      <c r="T19" s="8"/>
      <c r="U19" s="291"/>
    </row>
    <row r="20" spans="1:36">
      <c r="A20" s="154">
        <v>41647</v>
      </c>
      <c r="B20" s="155">
        <v>776.39457418382017</v>
      </c>
      <c r="C20" s="155">
        <v>932.17047006268479</v>
      </c>
      <c r="D20" s="155">
        <v>1099.7904934227945</v>
      </c>
      <c r="E20" s="155">
        <v>787.14338808758976</v>
      </c>
      <c r="F20" s="155">
        <v>1687.6519842891894</v>
      </c>
      <c r="G20" s="155">
        <v>168.58108581947815</v>
      </c>
      <c r="H20" s="155">
        <v>2120.3425224584757</v>
      </c>
      <c r="I20" s="155">
        <v>323.51593998261546</v>
      </c>
      <c r="J20" s="155">
        <v>437.30271592163882</v>
      </c>
      <c r="K20" s="155">
        <v>771.46318339709728</v>
      </c>
      <c r="L20" s="8"/>
      <c r="M20" s="8"/>
      <c r="N20" s="8"/>
      <c r="O20" s="8"/>
      <c r="P20" s="8"/>
      <c r="Q20" s="8"/>
      <c r="R20" s="8"/>
      <c r="S20" s="8"/>
      <c r="T20" s="8"/>
      <c r="U20" s="291"/>
    </row>
    <row r="21" spans="1:36">
      <c r="A21" s="154">
        <v>41648</v>
      </c>
      <c r="B21" s="155">
        <v>776.20254395794893</v>
      </c>
      <c r="C21" s="155">
        <v>934.2163772900916</v>
      </c>
      <c r="D21" s="155">
        <v>1097.6497897109659</v>
      </c>
      <c r="E21" s="155">
        <v>788.31801363849888</v>
      </c>
      <c r="F21" s="155">
        <v>1691.0067409454289</v>
      </c>
      <c r="G21" s="155">
        <v>168.58108581947815</v>
      </c>
      <c r="H21" s="155">
        <v>2141.4628610518375</v>
      </c>
      <c r="I21" s="155">
        <v>323.40459049918826</v>
      </c>
      <c r="J21" s="155">
        <v>440.23712134388575</v>
      </c>
      <c r="K21" s="155">
        <v>772.58763316345915</v>
      </c>
      <c r="L21" s="8"/>
      <c r="M21" s="8"/>
      <c r="N21" s="8"/>
      <c r="O21" s="8"/>
      <c r="P21" s="8"/>
      <c r="Q21" s="8"/>
      <c r="R21" s="8"/>
      <c r="S21" s="8"/>
      <c r="T21" s="8"/>
      <c r="U21" s="291"/>
    </row>
    <row r="22" spans="1:36">
      <c r="A22" s="154">
        <v>41651</v>
      </c>
      <c r="B22" s="155">
        <v>789.07330536360496</v>
      </c>
      <c r="C22" s="155">
        <v>934.2163772900916</v>
      </c>
      <c r="D22" s="155">
        <v>1095.9743515457756</v>
      </c>
      <c r="E22" s="155">
        <v>783.61951143486226</v>
      </c>
      <c r="F22" s="155">
        <v>1719.4234944734092</v>
      </c>
      <c r="G22" s="155">
        <v>168.58108581947815</v>
      </c>
      <c r="H22" s="155">
        <v>2173.1312945804875</v>
      </c>
      <c r="I22" s="155">
        <v>326.0869700230445</v>
      </c>
      <c r="J22" s="155">
        <v>444.71267990237544</v>
      </c>
      <c r="K22" s="155">
        <v>781.95993948053729</v>
      </c>
      <c r="L22" s="8"/>
      <c r="M22" s="8"/>
      <c r="N22" s="8"/>
      <c r="O22" s="8"/>
      <c r="P22" s="8"/>
      <c r="Q22" s="8"/>
      <c r="R22" s="8"/>
      <c r="S22" s="8"/>
      <c r="T22" s="8"/>
      <c r="U22" s="291"/>
    </row>
    <row r="23" spans="1:36">
      <c r="A23" s="154">
        <v>41652</v>
      </c>
      <c r="B23" s="155">
        <v>786.54345741599752</v>
      </c>
      <c r="C23" s="155">
        <v>923.37102307760813</v>
      </c>
      <c r="D23" s="155">
        <v>1119.8756034463197</v>
      </c>
      <c r="E23" s="155">
        <v>783.61951143486226</v>
      </c>
      <c r="F23" s="155">
        <v>1717.9971787278412</v>
      </c>
      <c r="G23" s="155">
        <v>170.43927888193528</v>
      </c>
      <c r="H23" s="155">
        <v>2199.0150501239964</v>
      </c>
      <c r="I23" s="155">
        <v>325.50860918127825</v>
      </c>
      <c r="J23" s="155">
        <v>451.4712648870061</v>
      </c>
      <c r="K23" s="155">
        <v>782.12173272906898</v>
      </c>
      <c r="L23" s="8"/>
      <c r="M23" s="8"/>
      <c r="N23" s="8"/>
      <c r="O23" s="8"/>
      <c r="P23" s="8"/>
      <c r="Q23" s="8"/>
      <c r="R23" s="8"/>
      <c r="S23" s="8"/>
      <c r="T23" s="8"/>
      <c r="U23" s="291"/>
    </row>
    <row r="24" spans="1:36">
      <c r="A24" s="154">
        <v>41653</v>
      </c>
      <c r="B24" s="155">
        <v>788.12020050947615</v>
      </c>
      <c r="C24" s="155">
        <v>923.37102307760813</v>
      </c>
      <c r="D24" s="230">
        <v>1134.6656658522379</v>
      </c>
      <c r="E24" s="155">
        <v>787.14338808758976</v>
      </c>
      <c r="F24" s="230">
        <v>1769.3817137990959</v>
      </c>
      <c r="G24" s="155">
        <v>170.43927888193528</v>
      </c>
      <c r="H24" s="155">
        <v>2226.0956877221447</v>
      </c>
      <c r="I24" s="155">
        <v>328.72501539143599</v>
      </c>
      <c r="J24" s="155">
        <v>458.54105732919817</v>
      </c>
      <c r="K24" s="155">
        <v>787.05277683636825</v>
      </c>
      <c r="L24" s="8"/>
      <c r="M24" s="8"/>
      <c r="N24" s="8"/>
      <c r="O24" s="8"/>
      <c r="P24" s="8"/>
      <c r="Q24" s="8"/>
      <c r="R24" s="8"/>
      <c r="S24" s="8"/>
      <c r="T24" s="8"/>
      <c r="U24" s="292"/>
      <c r="V24" s="290"/>
      <c r="W24" s="290"/>
      <c r="X24" s="290"/>
      <c r="Y24" s="290"/>
      <c r="Z24" s="290"/>
      <c r="AA24" s="290"/>
      <c r="AB24" s="290"/>
      <c r="AC24" s="290"/>
      <c r="AD24" s="290"/>
      <c r="AE24" s="290"/>
      <c r="AF24" s="290"/>
      <c r="AG24" s="290"/>
      <c r="AH24" s="290"/>
      <c r="AI24" s="290"/>
      <c r="AJ24" s="290"/>
    </row>
    <row r="25" spans="1:36">
      <c r="A25" s="289"/>
      <c r="B25" s="46"/>
      <c r="C25" s="46"/>
      <c r="D25" s="8"/>
      <c r="E25" s="46"/>
      <c r="F25" s="8"/>
      <c r="G25" s="8"/>
      <c r="H25" s="46"/>
      <c r="I25" s="46"/>
      <c r="J25" s="46"/>
      <c r="K25" s="46"/>
      <c r="L25" s="8"/>
      <c r="M25" s="8"/>
      <c r="N25" s="8"/>
      <c r="O25" s="8"/>
      <c r="P25" s="8"/>
      <c r="Q25" s="8"/>
      <c r="R25" s="8"/>
      <c r="S25" s="8"/>
      <c r="T25" s="8"/>
      <c r="U25" s="8"/>
      <c r="V25" s="8"/>
      <c r="W25" s="8"/>
      <c r="X25" s="8"/>
      <c r="Y25" s="8"/>
      <c r="Z25" s="8"/>
      <c r="AA25" s="8"/>
      <c r="AB25" s="8"/>
      <c r="AC25" s="8"/>
      <c r="AD25" s="8"/>
      <c r="AE25" s="8"/>
      <c r="AF25" s="8"/>
      <c r="AG25" s="8"/>
      <c r="AH25" s="8"/>
      <c r="AI25" s="8"/>
      <c r="AJ25" s="8"/>
    </row>
    <row r="26" spans="1:36">
      <c r="A26" s="8"/>
      <c r="B26" s="8"/>
      <c r="C26" s="8"/>
      <c r="D26" s="8"/>
      <c r="E26" s="8"/>
      <c r="F26" s="8"/>
      <c r="G26" s="8"/>
      <c r="H26" s="8"/>
      <c r="I26" s="8"/>
      <c r="J26" s="8"/>
      <c r="K26" s="46"/>
      <c r="L26" s="8"/>
      <c r="M26" s="46"/>
      <c r="N26" s="46"/>
      <c r="O26" s="46"/>
      <c r="P26" s="46"/>
      <c r="Q26" s="46"/>
      <c r="R26" s="46"/>
      <c r="S26" s="46"/>
      <c r="T26" s="46"/>
      <c r="U26" s="46"/>
      <c r="V26" s="46"/>
      <c r="W26" s="8"/>
      <c r="X26" s="8"/>
      <c r="Y26" s="8"/>
      <c r="Z26" s="8"/>
      <c r="AA26" s="8"/>
      <c r="AB26" s="8"/>
      <c r="AC26" s="8"/>
      <c r="AD26" s="8"/>
      <c r="AE26" s="8"/>
      <c r="AF26" s="8"/>
      <c r="AG26" s="8"/>
      <c r="AH26" s="8"/>
      <c r="AI26" s="8"/>
      <c r="AJ26" s="8"/>
    </row>
    <row r="27" spans="1:36">
      <c r="A27" s="8"/>
      <c r="B27" s="8"/>
      <c r="C27" s="8"/>
      <c r="D27" s="8"/>
      <c r="E27" s="8"/>
      <c r="F27" s="8"/>
      <c r="G27" s="8"/>
      <c r="H27" s="8"/>
      <c r="I27" s="8"/>
      <c r="J27" s="8"/>
      <c r="K27" s="46"/>
      <c r="L27" s="8"/>
      <c r="M27" s="46"/>
      <c r="N27" s="46"/>
      <c r="O27" s="46"/>
      <c r="P27" s="46"/>
      <c r="Q27" s="46"/>
      <c r="R27" s="46"/>
      <c r="S27" s="46"/>
      <c r="T27" s="46"/>
      <c r="U27" s="46"/>
      <c r="V27" s="46"/>
      <c r="W27" s="8"/>
      <c r="X27" s="8"/>
      <c r="Y27" s="8"/>
      <c r="Z27" s="8"/>
      <c r="AA27" s="8"/>
      <c r="AB27" s="8"/>
      <c r="AC27" s="8"/>
      <c r="AD27" s="8"/>
      <c r="AE27" s="8"/>
      <c r="AF27" s="8"/>
      <c r="AG27" s="8"/>
      <c r="AH27" s="8"/>
      <c r="AI27" s="8"/>
      <c r="AJ27" s="8"/>
    </row>
    <row r="28" spans="1:36">
      <c r="A28" s="8"/>
      <c r="B28" s="8"/>
      <c r="C28" s="8"/>
      <c r="D28" s="8"/>
      <c r="E28" s="8"/>
      <c r="F28" s="8"/>
      <c r="G28" s="8"/>
      <c r="H28" s="8"/>
      <c r="I28" s="8"/>
      <c r="J28" s="8"/>
      <c r="K28" s="8"/>
      <c r="L28" s="8"/>
      <c r="M28" s="46"/>
      <c r="N28" s="46"/>
      <c r="O28" s="46"/>
      <c r="P28" s="46"/>
      <c r="Q28" s="46"/>
      <c r="R28" s="46"/>
      <c r="S28" s="46"/>
      <c r="T28" s="46"/>
      <c r="U28" s="46"/>
      <c r="V28" s="46"/>
      <c r="W28" s="8"/>
      <c r="X28" s="8"/>
      <c r="Y28" s="8"/>
      <c r="Z28" s="8"/>
      <c r="AA28" s="8"/>
      <c r="AB28" s="8"/>
      <c r="AC28" s="8"/>
      <c r="AD28" s="8"/>
      <c r="AE28" s="8"/>
      <c r="AF28" s="8"/>
      <c r="AG28" s="8"/>
      <c r="AH28" s="8"/>
      <c r="AI28" s="8"/>
      <c r="AJ28" s="8"/>
    </row>
    <row r="29" spans="1:36">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row>
    <row r="30" spans="1:36">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row>
    <row r="31" spans="1:36">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row>
    <row r="32" spans="1:36">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row>
    <row r="33" spans="1:36">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row>
    <row r="34" spans="1:36">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row>
    <row r="35" spans="1:36">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row>
    <row r="36" spans="1: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row>
    <row r="37" spans="1:36">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row>
    <row r="38" spans="1:36">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row>
    <row r="39" spans="1:36">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row>
    <row r="40" spans="1:36">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row>
    <row r="41" spans="1:36">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row>
    <row r="42" spans="1:36">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row>
    <row r="43" spans="1:36">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row>
    <row r="44" spans="1:36">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row>
    <row r="45" spans="1:36">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row>
    <row r="46" spans="1:3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row>
    <row r="47" spans="1:36">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row>
    <row r="48" spans="1:36">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row>
    <row r="49" spans="1:36">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row>
    <row r="50" spans="1:36">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row>
    <row r="51" spans="1:36">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row>
    <row r="52" spans="1:36">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row>
    <row r="53" spans="1:36">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row>
    <row r="54" spans="1:36">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row>
    <row r="55" spans="1:36">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row>
    <row r="56" spans="1:3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row>
    <row r="57" spans="1:36">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row>
    <row r="58" spans="1:36">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row>
    <row r="59" spans="1:36">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row>
    <row r="60" spans="1:36">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spans="1:36">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row>
    <row r="62" spans="1:36">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row>
    <row r="63" spans="1:36">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row>
    <row r="64" spans="1:36">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row>
    <row r="65" spans="1:36">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row>
    <row r="66" spans="1:3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row>
    <row r="67" spans="1:36">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row>
    <row r="68" spans="1:36">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row>
    <row r="69" spans="1:36">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row>
    <row r="70" spans="1:36">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row>
    <row r="71" spans="1:36">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row>
    <row r="72" spans="1:36">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row>
    <row r="73" spans="1:36">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row>
    <row r="74" spans="1:36">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row>
    <row r="75" spans="1:36">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row>
    <row r="76" spans="1:3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row>
    <row r="77" spans="1:36">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row>
    <row r="78" spans="1:36">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row>
    <row r="79" spans="1:36">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row>
    <row r="80" spans="1:36">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row>
    <row r="81" spans="1:36">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row>
    <row r="82" spans="1:36">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spans="1:36">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row>
    <row r="84" spans="1:36">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spans="1:36">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row>
    <row r="86" spans="1:3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spans="1:36">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spans="1:36">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spans="1:36">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spans="1:36">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spans="1:36">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spans="1:36">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spans="1:36">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spans="1:36">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row>
    <row r="95" spans="1:36">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spans="1:3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row>
    <row r="97" spans="1:36">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row>
    <row r="98" spans="1:36">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spans="1:36">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row>
    <row r="100" spans="1:36">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row>
    <row r="101" spans="1:36">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row>
    <row r="102" spans="1:36">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row>
    <row r="103" spans="1:36">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row>
    <row r="104" spans="1:36">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row>
    <row r="105" spans="1:36">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row>
    <row r="106" spans="1:3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row>
    <row r="107" spans="1:36">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row>
    <row r="108" spans="1:36">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row>
    <row r="109" spans="1:36">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row>
    <row r="110" spans="1:36">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row>
    <row r="111" spans="1:36">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row>
    <row r="112" spans="1:36">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row>
    <row r="113" spans="1:36">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row>
    <row r="114" spans="1:36">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row>
    <row r="115" spans="1:36">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row>
    <row r="116" spans="1:3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row>
    <row r="117" spans="1:36">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row>
    <row r="118" spans="1:36">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row>
    <row r="119" spans="1:36">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spans="1:36">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row>
    <row r="121" spans="1:36">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row>
    <row r="122" spans="1:36">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row>
    <row r="123" spans="1:36">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row>
    <row r="124" spans="1:36">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row>
    <row r="125" spans="1:36">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row>
    <row r="126" spans="1:3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row>
    <row r="127" spans="1:36">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row>
    <row r="128" spans="1:36">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row>
    <row r="129" spans="1:36">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row>
    <row r="130" spans="1:36">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row>
    <row r="131" spans="1:36">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row>
    <row r="132" spans="1:36">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row>
    <row r="133" spans="1:36">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row>
    <row r="134" spans="1:36">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row>
    <row r="135" spans="1:36">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row>
    <row r="136" spans="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row>
    <row r="137" spans="1:36">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row>
    <row r="138" spans="1:36">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row>
    <row r="139" spans="1:36">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row>
    <row r="140" spans="1:36">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row>
    <row r="141" spans="1:36">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row>
    <row r="142" spans="1:36">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row>
    <row r="143" spans="1:36">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spans="1:36">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row>
    <row r="145" spans="1:36">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spans="1:3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spans="1:36">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row>
    <row r="148" spans="1:36">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row>
    <row r="149" spans="1:36">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row>
    <row r="150" spans="1:36">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row>
    <row r="151" spans="1:36">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spans="1:36">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spans="1:36">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row>
    <row r="154" spans="1:36">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row>
    <row r="155" spans="1:36">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row>
    <row r="156" spans="1:3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row>
    <row r="157" spans="1:36">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row>
    <row r="158" spans="1:36">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row>
    <row r="159" spans="1:36">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row>
    <row r="160" spans="1:36">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spans="1:36">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spans="1:36">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row>
    <row r="163" spans="1:36">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row>
    <row r="164" spans="1:36">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row>
    <row r="165" spans="1:36">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row>
    <row r="166" spans="1:3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row>
    <row r="167" spans="1:36">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row>
    <row r="168" spans="1:36">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row>
    <row r="169" spans="1:36">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row>
    <row r="170" spans="1:36">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row>
    <row r="171" spans="1:36">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spans="1:36">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row>
    <row r="173" spans="1:36">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row>
    <row r="174" spans="1:36">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row>
    <row r="175" spans="1:36">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row>
    <row r="176" spans="1:3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row>
    <row r="177" spans="1:36">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row>
    <row r="178" spans="1:36">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row>
    <row r="179" spans="1:36">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spans="1:36">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row>
    <row r="181" spans="1:36">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row>
    <row r="182" spans="1:36">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row>
    <row r="183" spans="1:36">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row>
    <row r="184" spans="1:36">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row>
    <row r="185" spans="1:36">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row>
    <row r="186" spans="1:3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row>
    <row r="187" spans="1:36">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spans="1:36">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row>
    <row r="189" spans="1:36">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row>
    <row r="190" spans="1:36">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row>
    <row r="191" spans="1:36">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row>
    <row r="192" spans="1:36">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row>
    <row r="193" spans="1:36">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row>
    <row r="194" spans="1:36">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row>
    <row r="195" spans="1:36">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spans="1:3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row>
    <row r="197" spans="1:36">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spans="1:36">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row>
    <row r="199" spans="1:36">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row>
    <row r="200" spans="1:36">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row>
    <row r="201" spans="1:36">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row>
    <row r="202" spans="1:36">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row>
    <row r="203" spans="1:36">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row>
    <row r="204" spans="1:36">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row>
    <row r="205" spans="1:36">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row>
    <row r="206" spans="1:3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row>
    <row r="207" spans="1:36">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row>
    <row r="208" spans="1:36">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row>
    <row r="209" spans="1:36">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row>
    <row r="210" spans="1:36">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row>
    <row r="211" spans="1:36">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row>
    <row r="212" spans="1:36">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row>
    <row r="213" spans="1:36">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row>
    <row r="214" spans="1:36">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row>
    <row r="215" spans="1:36">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row>
    <row r="216" spans="1:3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row>
    <row r="217" spans="1:36">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row>
    <row r="218" spans="1:36">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row>
    <row r="219" spans="1:36">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row>
    <row r="220" spans="1:36">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row>
    <row r="221" spans="1:36">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spans="1:36">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row>
    <row r="223" spans="1:36">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spans="1:36">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row>
    <row r="225" spans="1:36">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row>
    <row r="226" spans="1:3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row>
    <row r="227" spans="1:36">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spans="1:36">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spans="1:36">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row>
    <row r="230" spans="1:36">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spans="1:36">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row>
    <row r="232" spans="1:36">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row>
    <row r="233" spans="1:36">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row>
    <row r="234" spans="1:36">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row>
    <row r="235" spans="1:36">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row>
    <row r="236" spans="1: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spans="1:36">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spans="1:36">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spans="1:36">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spans="1:36">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spans="1:36">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spans="1:36">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spans="1:36">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spans="1:36">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spans="1:36">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spans="1:3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spans="1:36">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spans="1:36">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spans="1:36">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spans="1:36">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spans="1:36">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spans="1:36">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spans="1:36">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spans="1:36">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spans="1:36">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spans="1:3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spans="1:36">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spans="1:36">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spans="1:36">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spans="1:36">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spans="1:36">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spans="1:36">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sheetData>
  <mergeCells count="3">
    <mergeCell ref="A1:K1"/>
    <mergeCell ref="A2:K2"/>
    <mergeCell ref="A3:A4"/>
  </mergeCells>
  <phoneticPr fontId="0" type="noConversion"/>
  <printOptions gridLinesSet="0"/>
  <pageMargins left="0.56000000000000005" right="0.33" top="0.71" bottom="0.72" header="0.36" footer="0.28000000000000003"/>
  <pageSetup firstPageNumber="11" orientation="landscape" useFirstPageNumber="1" horizontalDpi="180" verticalDpi="180" r:id="rId1"/>
  <headerFooter alignWithMargins="0">
    <oddHeader>&amp;LTable 1.5</oddHeader>
    <oddFooter>&amp;RPage &amp;P</oddFooter>
  </headerFooter>
</worksheet>
</file>

<file path=xl/worksheets/sheet8.xml><?xml version="1.0" encoding="utf-8"?>
<worksheet xmlns="http://schemas.openxmlformats.org/spreadsheetml/2006/main" xmlns:r="http://schemas.openxmlformats.org/officeDocument/2006/relationships">
  <sheetPr codeName="Sheet6"/>
  <dimension ref="A2:L27"/>
  <sheetViews>
    <sheetView zoomScale="115" zoomScaleNormal="115" workbookViewId="0">
      <selection activeCell="J1" sqref="J1"/>
    </sheetView>
  </sheetViews>
  <sheetFormatPr defaultRowHeight="12.75"/>
  <cols>
    <col min="1" max="1" width="12.140625" bestFit="1" customWidth="1"/>
    <col min="2" max="2" width="12.28515625" customWidth="1"/>
    <col min="3" max="3" width="13.28515625" bestFit="1" customWidth="1"/>
    <col min="4" max="4" width="10.28515625" bestFit="1" customWidth="1"/>
    <col min="5" max="5" width="11.5703125" customWidth="1"/>
    <col min="6" max="6" width="11.85546875" customWidth="1"/>
    <col min="7" max="8" width="10.28515625" bestFit="1" customWidth="1"/>
    <col min="9" max="9" width="11.28515625" bestFit="1" customWidth="1"/>
    <col min="10" max="10" width="14.42578125" bestFit="1" customWidth="1"/>
  </cols>
  <sheetData>
    <row r="2" spans="1:12" ht="22.5">
      <c r="A2" s="344" t="s">
        <v>132</v>
      </c>
      <c r="B2" s="344"/>
      <c r="C2" s="344"/>
      <c r="D2" s="344"/>
      <c r="E2" s="344"/>
      <c r="F2" s="344"/>
      <c r="G2" s="344"/>
      <c r="H2" s="344"/>
      <c r="I2" s="344"/>
      <c r="J2" s="344"/>
    </row>
    <row r="3" spans="1:12" ht="15.75">
      <c r="A3" s="334" t="s">
        <v>1057</v>
      </c>
      <c r="B3" s="334"/>
      <c r="C3" s="334"/>
      <c r="D3" s="334"/>
      <c r="E3" s="334"/>
      <c r="F3" s="334"/>
      <c r="G3" s="334"/>
      <c r="H3" s="334"/>
      <c r="I3" s="334"/>
      <c r="J3" s="334"/>
    </row>
    <row r="4" spans="1:12">
      <c r="A4" s="176" t="s">
        <v>63</v>
      </c>
      <c r="B4" s="13" t="s">
        <v>64</v>
      </c>
      <c r="C4" s="13" t="s">
        <v>90</v>
      </c>
      <c r="D4" s="13" t="s">
        <v>29</v>
      </c>
      <c r="E4" s="13" t="s">
        <v>6</v>
      </c>
      <c r="F4" s="13" t="s">
        <v>33</v>
      </c>
      <c r="G4" s="13" t="s">
        <v>13</v>
      </c>
      <c r="H4" s="13" t="s">
        <v>73</v>
      </c>
      <c r="I4" s="13" t="s">
        <v>47</v>
      </c>
      <c r="J4" s="13" t="s">
        <v>61</v>
      </c>
    </row>
    <row r="5" spans="1:12">
      <c r="A5" s="13"/>
      <c r="B5" s="13" t="s">
        <v>2</v>
      </c>
      <c r="C5" s="13" t="s">
        <v>91</v>
      </c>
      <c r="D5" s="13"/>
      <c r="E5" s="13"/>
      <c r="F5" s="13"/>
      <c r="G5" s="13"/>
      <c r="H5" s="13" t="s">
        <v>74</v>
      </c>
      <c r="I5" s="13" t="s">
        <v>2</v>
      </c>
      <c r="J5" s="13" t="s">
        <v>117</v>
      </c>
    </row>
    <row r="6" spans="1:12">
      <c r="A6" s="154">
        <v>41624</v>
      </c>
      <c r="B6" s="199">
        <v>420271.94963799999</v>
      </c>
      <c r="C6" s="199">
        <v>9474.0030000000006</v>
      </c>
      <c r="D6" s="199">
        <v>7564.7573759999996</v>
      </c>
      <c r="E6" s="199">
        <v>100500</v>
      </c>
      <c r="F6" s="199">
        <v>23577.660778000001</v>
      </c>
      <c r="G6" s="199">
        <v>16846.566117999999</v>
      </c>
      <c r="H6" s="199">
        <v>37296.250599999999</v>
      </c>
      <c r="I6" s="199">
        <v>25848.615180000001</v>
      </c>
      <c r="J6" s="199">
        <v>641379.80269000004</v>
      </c>
      <c r="K6" s="115"/>
      <c r="L6" s="115"/>
    </row>
    <row r="7" spans="1:12">
      <c r="A7" s="154">
        <v>41626</v>
      </c>
      <c r="B7" s="199">
        <v>444545.07305800001</v>
      </c>
      <c r="C7" s="199">
        <v>9474.0030000000006</v>
      </c>
      <c r="D7" s="199">
        <v>7736.6836800000001</v>
      </c>
      <c r="E7" s="199">
        <v>105000</v>
      </c>
      <c r="F7" s="199">
        <v>24352.629499999999</v>
      </c>
      <c r="G7" s="199">
        <v>17327.891383999999</v>
      </c>
      <c r="H7" s="199">
        <v>38609.941299999999</v>
      </c>
      <c r="I7" s="199">
        <v>26574.864151000002</v>
      </c>
      <c r="J7" s="199">
        <v>673621.0860730001</v>
      </c>
      <c r="K7" s="115"/>
      <c r="L7" s="115"/>
    </row>
    <row r="8" spans="1:12">
      <c r="A8" s="154">
        <v>41627</v>
      </c>
      <c r="B8" s="199">
        <v>442028.78930300003</v>
      </c>
      <c r="C8" s="199">
        <v>9474.0030000000006</v>
      </c>
      <c r="D8" s="199">
        <v>8016.063924</v>
      </c>
      <c r="E8" s="199">
        <v>105000</v>
      </c>
      <c r="F8" s="199">
        <v>24416.984896999998</v>
      </c>
      <c r="G8" s="199">
        <v>17789.592821999999</v>
      </c>
      <c r="H8" s="199">
        <v>38352.696900000003</v>
      </c>
      <c r="I8" s="199">
        <v>26528.940374999998</v>
      </c>
      <c r="J8" s="199">
        <v>671607.07122100005</v>
      </c>
      <c r="K8" s="115"/>
      <c r="L8" s="115"/>
    </row>
    <row r="9" spans="1:12">
      <c r="A9" s="154">
        <v>41627</v>
      </c>
      <c r="B9" s="199">
        <v>442028.78930300003</v>
      </c>
      <c r="C9" s="199">
        <v>9474.0030000000006</v>
      </c>
      <c r="D9" s="199">
        <v>8016.063924</v>
      </c>
      <c r="E9" s="199">
        <v>105000</v>
      </c>
      <c r="F9" s="199">
        <v>24416.984896999998</v>
      </c>
      <c r="G9" s="199">
        <v>17789.592821999999</v>
      </c>
      <c r="H9" s="199">
        <v>38352.696900000003</v>
      </c>
      <c r="I9" s="199">
        <v>28711.937774999999</v>
      </c>
      <c r="J9" s="199">
        <v>673790.06862100004</v>
      </c>
      <c r="K9" s="115"/>
      <c r="L9" s="115"/>
    </row>
    <row r="10" spans="1:12">
      <c r="A10" s="154">
        <v>41630</v>
      </c>
      <c r="B10" s="199">
        <v>431161.66345599998</v>
      </c>
      <c r="C10" s="199">
        <v>9474.0030000000006</v>
      </c>
      <c r="D10" s="199">
        <v>8166.4994399999996</v>
      </c>
      <c r="E10" s="199">
        <v>104700</v>
      </c>
      <c r="F10" s="199">
        <v>23961.232189999999</v>
      </c>
      <c r="G10" s="199">
        <v>17899.631649999999</v>
      </c>
      <c r="H10" s="199">
        <v>37794.364999999998</v>
      </c>
      <c r="I10" s="199">
        <v>28723.592483</v>
      </c>
      <c r="J10" s="199">
        <v>661880.987219</v>
      </c>
      <c r="K10" s="115"/>
      <c r="L10" s="115"/>
    </row>
    <row r="11" spans="1:12">
      <c r="A11" s="154">
        <v>41631</v>
      </c>
      <c r="B11" s="199">
        <v>411391.92662899999</v>
      </c>
      <c r="C11" s="199">
        <v>9474.0030000000006</v>
      </c>
      <c r="D11" s="199">
        <v>8145.0086520000004</v>
      </c>
      <c r="E11" s="199">
        <v>99750</v>
      </c>
      <c r="F11" s="199">
        <v>23645.580935000002</v>
      </c>
      <c r="G11" s="199">
        <v>18035.426963999998</v>
      </c>
      <c r="H11" s="199">
        <v>37313.682000000001</v>
      </c>
      <c r="I11" s="199">
        <v>28325.881729000001</v>
      </c>
      <c r="J11" s="199">
        <v>636081.50990900001</v>
      </c>
      <c r="K11" s="115"/>
      <c r="L11" s="115"/>
    </row>
    <row r="12" spans="1:12">
      <c r="A12" s="154">
        <v>41632</v>
      </c>
      <c r="B12" s="199">
        <v>416317.34203300002</v>
      </c>
      <c r="C12" s="199">
        <v>9474.0030000000006</v>
      </c>
      <c r="D12" s="199">
        <v>8145.0086520000004</v>
      </c>
      <c r="E12" s="199">
        <v>102000</v>
      </c>
      <c r="F12" s="199">
        <v>23363.085978999999</v>
      </c>
      <c r="G12" s="199">
        <v>18100.621958</v>
      </c>
      <c r="H12" s="199">
        <v>37408.233800000002</v>
      </c>
      <c r="I12" s="199">
        <v>28482.912337999998</v>
      </c>
      <c r="J12" s="199">
        <v>643291.20776000002</v>
      </c>
      <c r="K12" s="115"/>
      <c r="L12" s="115"/>
    </row>
    <row r="13" spans="1:12">
      <c r="A13" s="154">
        <v>41634</v>
      </c>
      <c r="B13" s="199">
        <v>423944.32288200001</v>
      </c>
      <c r="C13" s="199">
        <v>9662.7464999999993</v>
      </c>
      <c r="D13" s="199">
        <v>8145.0086520000004</v>
      </c>
      <c r="E13" s="199">
        <v>102000</v>
      </c>
      <c r="F13" s="199">
        <v>23985.864152999999</v>
      </c>
      <c r="G13" s="199">
        <v>17983.525598</v>
      </c>
      <c r="H13" s="199">
        <v>37654.385999999999</v>
      </c>
      <c r="I13" s="199">
        <v>29047.914715999999</v>
      </c>
      <c r="J13" s="199">
        <v>652423.76850100001</v>
      </c>
      <c r="K13" s="115"/>
      <c r="L13" s="115"/>
    </row>
    <row r="14" spans="1:12">
      <c r="A14" s="154">
        <v>41637</v>
      </c>
      <c r="B14" s="199">
        <v>420620.33716499998</v>
      </c>
      <c r="C14" s="199">
        <v>9662.7464999999993</v>
      </c>
      <c r="D14" s="199">
        <v>7844.1376200000004</v>
      </c>
      <c r="E14" s="199">
        <v>100500</v>
      </c>
      <c r="F14" s="199">
        <v>23735.370475</v>
      </c>
      <c r="G14" s="199">
        <v>17911.027937999999</v>
      </c>
      <c r="H14" s="199">
        <v>37486.938999999998</v>
      </c>
      <c r="I14" s="199">
        <v>29003.380752000001</v>
      </c>
      <c r="J14" s="199">
        <v>646763.93945000006</v>
      </c>
      <c r="K14" s="115"/>
      <c r="L14" s="115"/>
    </row>
    <row r="15" spans="1:12">
      <c r="A15" s="154">
        <v>41639</v>
      </c>
      <c r="B15" s="199">
        <v>414686.61619600002</v>
      </c>
      <c r="C15" s="199">
        <v>9662.7464999999993</v>
      </c>
      <c r="D15" s="199">
        <v>7586.2481639999996</v>
      </c>
      <c r="E15" s="199">
        <v>100350</v>
      </c>
      <c r="F15" s="199">
        <v>23304.095657000002</v>
      </c>
      <c r="G15" s="199">
        <v>17762.263355999999</v>
      </c>
      <c r="H15" s="199">
        <v>36348.089399999997</v>
      </c>
      <c r="I15" s="199">
        <v>28766.285947</v>
      </c>
      <c r="J15" s="199">
        <v>638466.34522000002</v>
      </c>
      <c r="K15" s="115"/>
      <c r="L15" s="115"/>
    </row>
    <row r="16" spans="1:12">
      <c r="A16" s="154">
        <v>41640</v>
      </c>
      <c r="B16" s="199">
        <v>405641.53928199998</v>
      </c>
      <c r="C16" s="199">
        <v>9662.7464999999993</v>
      </c>
      <c r="D16" s="199">
        <v>7586.2481639999996</v>
      </c>
      <c r="E16" s="199">
        <v>98250</v>
      </c>
      <c r="F16" s="199">
        <v>22617.128995999999</v>
      </c>
      <c r="G16" s="199">
        <v>17688.062890000001</v>
      </c>
      <c r="H16" s="199">
        <v>34950.938399999999</v>
      </c>
      <c r="I16" s="199">
        <v>27954.763052999999</v>
      </c>
      <c r="J16" s="199">
        <v>624351.42728499998</v>
      </c>
      <c r="K16" s="115"/>
      <c r="L16" s="115"/>
    </row>
    <row r="17" spans="1:12">
      <c r="A17" s="154">
        <v>41641</v>
      </c>
      <c r="B17" s="199">
        <v>410090.90826400003</v>
      </c>
      <c r="C17" s="199">
        <v>9662.7464999999993</v>
      </c>
      <c r="D17" s="199">
        <v>7844.1376200000004</v>
      </c>
      <c r="E17" s="199">
        <v>100200</v>
      </c>
      <c r="F17" s="199">
        <v>23118.661486000001</v>
      </c>
      <c r="G17" s="199">
        <v>17650.072322</v>
      </c>
      <c r="H17" s="199">
        <v>35394.646000000001</v>
      </c>
      <c r="I17" s="199">
        <v>27608.297629000001</v>
      </c>
      <c r="J17" s="199">
        <v>631569.46982100001</v>
      </c>
      <c r="K17" s="115"/>
      <c r="L17" s="115"/>
    </row>
    <row r="18" spans="1:12">
      <c r="A18" s="154">
        <v>41644</v>
      </c>
      <c r="B18" s="199">
        <v>406961.69420199998</v>
      </c>
      <c r="C18" s="199">
        <v>9662.7464999999993</v>
      </c>
      <c r="D18" s="199">
        <v>7199.4139800000003</v>
      </c>
      <c r="E18" s="199">
        <v>99000</v>
      </c>
      <c r="F18" s="199">
        <v>22871.127449</v>
      </c>
      <c r="G18" s="199">
        <v>17664.870154</v>
      </c>
      <c r="H18" s="199">
        <v>34947.241000000002</v>
      </c>
      <c r="I18" s="199">
        <v>27622.114683</v>
      </c>
      <c r="J18" s="199">
        <v>625929.20796799997</v>
      </c>
      <c r="K18" s="115"/>
      <c r="L18" s="115"/>
    </row>
    <row r="19" spans="1:12">
      <c r="A19" s="154">
        <v>41645</v>
      </c>
      <c r="B19" s="199">
        <v>405466.173794</v>
      </c>
      <c r="C19" s="199">
        <v>9662.7464999999993</v>
      </c>
      <c r="D19" s="199">
        <v>7328.3587079999998</v>
      </c>
      <c r="E19" s="199">
        <v>99150</v>
      </c>
      <c r="F19" s="199">
        <v>22865.288585999999</v>
      </c>
      <c r="G19" s="199">
        <v>17794.069584000001</v>
      </c>
      <c r="H19" s="199">
        <v>35063.450100000002</v>
      </c>
      <c r="I19" s="199">
        <v>27738.027157</v>
      </c>
      <c r="J19" s="199">
        <v>625068.11442899995</v>
      </c>
      <c r="K19" s="115"/>
      <c r="L19" s="115"/>
    </row>
    <row r="20" spans="1:12">
      <c r="A20" s="154">
        <v>41645</v>
      </c>
      <c r="B20" s="199">
        <v>408550.15223800001</v>
      </c>
      <c r="C20" s="199">
        <v>9662.7464999999993</v>
      </c>
      <c r="D20" s="199">
        <v>6984.5060999999996</v>
      </c>
      <c r="E20" s="199">
        <v>99600</v>
      </c>
      <c r="F20" s="199">
        <v>22979.97885</v>
      </c>
      <c r="G20" s="199">
        <v>17633.029682</v>
      </c>
      <c r="H20" s="199">
        <v>35170.679600000003</v>
      </c>
      <c r="I20" s="199">
        <v>27937.644581</v>
      </c>
      <c r="J20" s="199">
        <v>628518.73755099997</v>
      </c>
      <c r="K20" s="115"/>
      <c r="L20" s="115"/>
    </row>
    <row r="21" spans="1:12">
      <c r="A21" s="154">
        <v>41647</v>
      </c>
      <c r="B21" s="199">
        <v>413601.27510500001</v>
      </c>
      <c r="C21" s="199">
        <v>9662.7464999999993</v>
      </c>
      <c r="D21" s="199">
        <v>7177.9231920000002</v>
      </c>
      <c r="E21" s="199">
        <v>100500</v>
      </c>
      <c r="F21" s="199">
        <v>23746.813888000001</v>
      </c>
      <c r="G21" s="199">
        <v>17913.268649000001</v>
      </c>
      <c r="H21" s="199">
        <v>35355.029499999997</v>
      </c>
      <c r="I21" s="199">
        <v>28354.77579</v>
      </c>
      <c r="J21" s="199">
        <v>636311.83262400003</v>
      </c>
      <c r="K21" s="115"/>
      <c r="L21" s="115"/>
    </row>
    <row r="22" spans="1:12">
      <c r="A22" s="154">
        <v>41648</v>
      </c>
      <c r="B22" s="199">
        <v>413497.038872</v>
      </c>
      <c r="C22" s="199">
        <v>9662.7464999999993</v>
      </c>
      <c r="D22" s="199">
        <v>7091.9600399999999</v>
      </c>
      <c r="E22" s="199">
        <v>100650</v>
      </c>
      <c r="F22" s="199">
        <v>24289.171280999999</v>
      </c>
      <c r="G22" s="199">
        <v>17968.786088000001</v>
      </c>
      <c r="H22" s="199">
        <v>35312.243399999999</v>
      </c>
      <c r="I22" s="199">
        <v>28602.137167000001</v>
      </c>
      <c r="J22" s="199">
        <v>637074.08334800007</v>
      </c>
      <c r="K22" s="115"/>
      <c r="L22" s="115"/>
    </row>
    <row r="23" spans="1:12">
      <c r="A23" s="154">
        <v>41651</v>
      </c>
      <c r="B23" s="199">
        <v>420205.09019800002</v>
      </c>
      <c r="C23" s="199">
        <v>9662.7464999999993</v>
      </c>
      <c r="D23" s="199">
        <v>7091.9600399999999</v>
      </c>
      <c r="E23" s="199">
        <v>100050</v>
      </c>
      <c r="F23" s="199">
        <v>25246.049444</v>
      </c>
      <c r="G23" s="199">
        <v>18166.475812000001</v>
      </c>
      <c r="H23" s="199">
        <v>35741.1607</v>
      </c>
      <c r="I23" s="199">
        <v>28683.770729</v>
      </c>
      <c r="J23" s="199">
        <v>644847.2534230001</v>
      </c>
      <c r="K23" s="115"/>
      <c r="L23" s="115"/>
    </row>
    <row r="24" spans="1:12">
      <c r="A24" s="154">
        <v>41652</v>
      </c>
      <c r="B24" s="199">
        <v>419009.26336300001</v>
      </c>
      <c r="C24" s="199">
        <v>9470.3202000000001</v>
      </c>
      <c r="D24" s="199">
        <v>7306.8679199999997</v>
      </c>
      <c r="E24" s="199">
        <v>100050</v>
      </c>
      <c r="F24" s="199">
        <v>25730.995458000001</v>
      </c>
      <c r="G24" s="199">
        <v>18099.475861999999</v>
      </c>
      <c r="H24" s="199">
        <v>35615.443500000001</v>
      </c>
      <c r="I24" s="199">
        <v>29045.955376999998</v>
      </c>
      <c r="J24" s="199">
        <v>644328.32168000005</v>
      </c>
      <c r="K24" s="115"/>
      <c r="L24" s="115"/>
    </row>
    <row r="25" spans="1:12">
      <c r="A25" s="154">
        <v>41653</v>
      </c>
      <c r="B25" s="199">
        <v>419600.064029</v>
      </c>
      <c r="C25" s="199">
        <v>9470.3202000000001</v>
      </c>
      <c r="D25" s="199">
        <v>7435.8126480000001</v>
      </c>
      <c r="E25" s="199">
        <v>100500</v>
      </c>
      <c r="F25" s="199">
        <v>26290.151551999999</v>
      </c>
      <c r="G25" s="199">
        <v>18387.356089000001</v>
      </c>
      <c r="H25" s="199">
        <v>35852.087599999999</v>
      </c>
      <c r="I25" s="199">
        <v>29591.867429999998</v>
      </c>
      <c r="J25" s="199">
        <v>647127.65954799997</v>
      </c>
      <c r="K25" s="115"/>
      <c r="L25" s="115"/>
    </row>
    <row r="26" spans="1:12">
      <c r="A26" s="289"/>
      <c r="B26" s="293"/>
      <c r="C26" s="293"/>
      <c r="D26" s="293"/>
      <c r="E26" s="293"/>
      <c r="F26" s="293"/>
      <c r="G26" s="293"/>
      <c r="H26" s="293"/>
      <c r="I26" s="293"/>
      <c r="J26" s="293"/>
    </row>
    <row r="27" spans="1:12">
      <c r="A27" s="8"/>
      <c r="B27" s="8"/>
      <c r="C27" s="8"/>
      <c r="D27" s="8"/>
      <c r="E27" s="8"/>
      <c r="F27" s="8"/>
      <c r="G27" s="8"/>
      <c r="H27" s="8"/>
      <c r="I27" s="8"/>
      <c r="J27" s="294"/>
    </row>
  </sheetData>
  <mergeCells count="2">
    <mergeCell ref="A3:J3"/>
    <mergeCell ref="A2:J2"/>
  </mergeCells>
  <phoneticPr fontId="41" type="noConversion"/>
  <pageMargins left="0.75" right="0.75" top="1" bottom="1" header="0.5" footer="0.5"/>
  <pageSetup paperSize="9" firstPageNumber="14" orientation="landscape" useFirstPageNumber="1" r:id="rId1"/>
  <headerFooter alignWithMargins="0">
    <oddHeader>&amp;LTable 1.8</oddHeader>
    <oddFooter>&amp;RPage &amp;P</oddFooter>
  </headerFooter>
</worksheet>
</file>

<file path=xl/worksheets/sheet9.xml><?xml version="1.0" encoding="utf-8"?>
<worksheet xmlns="http://schemas.openxmlformats.org/spreadsheetml/2006/main" xmlns:r="http://schemas.openxmlformats.org/officeDocument/2006/relationships">
  <sheetPr codeName="Sheet9"/>
  <dimension ref="A2:J28"/>
  <sheetViews>
    <sheetView zoomScale="130" zoomScaleNormal="130" workbookViewId="0">
      <selection activeCell="G21" sqref="G21"/>
    </sheetView>
  </sheetViews>
  <sheetFormatPr defaultRowHeight="12.75"/>
  <cols>
    <col min="1" max="1" width="12.140625" bestFit="1" customWidth="1"/>
    <col min="2" max="2" width="9.5703125" customWidth="1"/>
    <col min="3" max="5" width="10.5703125" bestFit="1" customWidth="1"/>
    <col min="6" max="6" width="9.28515625" customWidth="1"/>
    <col min="7" max="7" width="9.5703125" customWidth="1"/>
    <col min="8" max="8" width="10.5703125" bestFit="1" customWidth="1"/>
    <col min="9" max="9" width="9.5703125" bestFit="1" customWidth="1"/>
    <col min="10" max="10" width="10.5703125" bestFit="1" customWidth="1"/>
  </cols>
  <sheetData>
    <row r="2" spans="1:10" ht="20.25">
      <c r="A2" s="333" t="s">
        <v>116</v>
      </c>
      <c r="B2" s="333"/>
      <c r="C2" s="333"/>
      <c r="D2" s="333"/>
      <c r="E2" s="333"/>
      <c r="F2" s="333"/>
      <c r="G2" s="333"/>
      <c r="H2" s="333"/>
      <c r="I2" s="333"/>
      <c r="J2" s="333"/>
    </row>
    <row r="3" spans="1:10">
      <c r="A3" s="348" t="s">
        <v>1047</v>
      </c>
      <c r="B3" s="348"/>
      <c r="C3" s="348"/>
      <c r="D3" s="348"/>
      <c r="E3" s="348"/>
      <c r="F3" s="348"/>
      <c r="G3" s="348"/>
      <c r="H3" s="348"/>
      <c r="I3" s="348"/>
      <c r="J3" s="348"/>
    </row>
    <row r="4" spans="1:10" ht="16.5" customHeight="1">
      <c r="A4" s="176" t="s">
        <v>63</v>
      </c>
      <c r="B4" s="13" t="s">
        <v>64</v>
      </c>
      <c r="C4" s="38" t="s">
        <v>81</v>
      </c>
      <c r="D4" s="38" t="s">
        <v>29</v>
      </c>
      <c r="E4" s="38" t="s">
        <v>6</v>
      </c>
      <c r="F4" s="13" t="s">
        <v>33</v>
      </c>
      <c r="G4" s="13" t="s">
        <v>13</v>
      </c>
      <c r="H4" s="13" t="s">
        <v>73</v>
      </c>
      <c r="I4" s="13" t="s">
        <v>47</v>
      </c>
      <c r="J4" s="13" t="s">
        <v>72</v>
      </c>
    </row>
    <row r="5" spans="1:10" ht="17.25" customHeight="1">
      <c r="A5" s="38"/>
      <c r="B5" s="13" t="s">
        <v>2</v>
      </c>
      <c r="C5" s="38" t="s">
        <v>82</v>
      </c>
      <c r="D5" s="38"/>
      <c r="E5" s="38"/>
      <c r="F5" s="13"/>
      <c r="G5" s="13"/>
      <c r="H5" s="13" t="s">
        <v>74</v>
      </c>
      <c r="I5" s="13" t="s">
        <v>2</v>
      </c>
      <c r="J5" s="13" t="s">
        <v>115</v>
      </c>
    </row>
    <row r="6" spans="1:10">
      <c r="A6" s="154">
        <v>41624</v>
      </c>
      <c r="B6" s="155">
        <v>193.3596462190506</v>
      </c>
      <c r="C6" s="155">
        <v>411.60000000000008</v>
      </c>
      <c r="D6" s="155">
        <v>614.67647329901274</v>
      </c>
      <c r="E6" s="155">
        <v>172.88314905365829</v>
      </c>
      <c r="F6" s="155">
        <v>627.04226567156138</v>
      </c>
      <c r="G6" s="155">
        <v>86.327617714020477</v>
      </c>
      <c r="H6" s="155">
        <v>448.32990060019728</v>
      </c>
      <c r="I6" s="155">
        <v>105.30511976149599</v>
      </c>
      <c r="J6" s="155">
        <v>191.97060678644357</v>
      </c>
    </row>
    <row r="7" spans="1:10">
      <c r="A7" s="154">
        <v>41626</v>
      </c>
      <c r="B7" s="155">
        <v>204.52727841807135</v>
      </c>
      <c r="C7" s="155">
        <v>411.60000000000008</v>
      </c>
      <c r="D7" s="155">
        <v>628.64639314671763</v>
      </c>
      <c r="E7" s="155">
        <v>180.62418557844896</v>
      </c>
      <c r="F7" s="155">
        <v>647.65237402127923</v>
      </c>
      <c r="G7" s="155">
        <v>88.794094458794632</v>
      </c>
      <c r="H7" s="155">
        <v>464.12148317151349</v>
      </c>
      <c r="I7" s="155">
        <v>108.26379798604519</v>
      </c>
      <c r="J7" s="155">
        <v>201.62070600791805</v>
      </c>
    </row>
    <row r="8" spans="1:10">
      <c r="A8" s="154">
        <v>41627</v>
      </c>
      <c r="B8" s="155">
        <v>203.36958103409742</v>
      </c>
      <c r="C8" s="155">
        <v>411.60000000000008</v>
      </c>
      <c r="D8" s="155">
        <v>651.34751289923793</v>
      </c>
      <c r="E8" s="155">
        <v>180.62418557844896</v>
      </c>
      <c r="F8" s="155">
        <v>649.36389045724081</v>
      </c>
      <c r="G8" s="155">
        <v>91.16001193767427</v>
      </c>
      <c r="H8" s="155">
        <v>461.02920567909564</v>
      </c>
      <c r="I8" s="155">
        <v>108.07670832194117</v>
      </c>
      <c r="J8" s="155">
        <v>201.01789367801021</v>
      </c>
    </row>
    <row r="9" spans="1:10">
      <c r="A9" s="154">
        <v>41628</v>
      </c>
      <c r="B9" s="155">
        <v>203.36958103409742</v>
      </c>
      <c r="C9" s="155">
        <v>411.60000000000008</v>
      </c>
      <c r="D9" s="155">
        <v>651.34751289923793</v>
      </c>
      <c r="E9" s="155">
        <v>180.62418557844896</v>
      </c>
      <c r="F9" s="155">
        <v>649.36389045724081</v>
      </c>
      <c r="G9" s="155">
        <v>91.16001193767427</v>
      </c>
      <c r="H9" s="155">
        <v>461.02920567909564</v>
      </c>
      <c r="I9" s="155">
        <v>112.01437307241046</v>
      </c>
      <c r="J9" s="155">
        <v>201.01789468640362</v>
      </c>
    </row>
    <row r="10" spans="1:10">
      <c r="A10" s="154">
        <v>41630</v>
      </c>
      <c r="B10" s="155">
        <v>198.36980978835106</v>
      </c>
      <c r="C10" s="155">
        <v>411.60000000000008</v>
      </c>
      <c r="D10" s="155">
        <v>663.57119276597962</v>
      </c>
      <c r="E10" s="155">
        <v>180.10811647679625</v>
      </c>
      <c r="F10" s="155">
        <v>637.24325590091189</v>
      </c>
      <c r="G10" s="155">
        <v>91.756708335151032</v>
      </c>
      <c r="H10" s="155">
        <v>454.31762257886515</v>
      </c>
      <c r="I10" s="155">
        <v>112.04178911822025</v>
      </c>
      <c r="J10" s="155">
        <v>197.46662954579213</v>
      </c>
    </row>
    <row r="11" spans="1:10">
      <c r="A11" s="154">
        <v>41631</v>
      </c>
      <c r="B11" s="155">
        <v>189.27410563296999</v>
      </c>
      <c r="C11" s="155">
        <v>411.60000000000008</v>
      </c>
      <c r="D11" s="155">
        <v>661.82495278501654</v>
      </c>
      <c r="E11" s="155">
        <v>171.5929762995265</v>
      </c>
      <c r="F11" s="155">
        <v>628.84858604961119</v>
      </c>
      <c r="G11" s="155">
        <v>92.452819364898289</v>
      </c>
      <c r="H11" s="155">
        <v>448.5394395673481</v>
      </c>
      <c r="I11" s="155">
        <v>110.80102244587511</v>
      </c>
      <c r="J11" s="155">
        <v>189.81026542482238</v>
      </c>
    </row>
    <row r="12" spans="1:10">
      <c r="A12" s="154">
        <v>41632</v>
      </c>
      <c r="B12" s="155">
        <v>191.54020162348192</v>
      </c>
      <c r="C12" s="155">
        <v>411.60000000000008</v>
      </c>
      <c r="D12" s="155">
        <v>661.82495278501654</v>
      </c>
      <c r="E12" s="155">
        <v>175.46349456192186</v>
      </c>
      <c r="F12" s="155">
        <v>621.33570006321554</v>
      </c>
      <c r="G12" s="155">
        <v>92.960430456714349</v>
      </c>
      <c r="H12" s="155">
        <v>449.67602564272073</v>
      </c>
      <c r="I12" s="155">
        <v>111.24825554461073</v>
      </c>
      <c r="J12" s="155">
        <v>191.96053950670185</v>
      </c>
    </row>
    <row r="13" spans="1:10">
      <c r="A13" s="154">
        <v>41634</v>
      </c>
      <c r="B13" s="155">
        <v>195.04923980685911</v>
      </c>
      <c r="C13" s="155">
        <v>419.79999999999995</v>
      </c>
      <c r="D13" s="155">
        <v>661.82495278501654</v>
      </c>
      <c r="E13" s="155">
        <v>175.46349456192186</v>
      </c>
      <c r="F13" s="155">
        <v>637.89833708275114</v>
      </c>
      <c r="G13" s="155">
        <v>92.359051782778607</v>
      </c>
      <c r="H13" s="155">
        <v>452.63496627571084</v>
      </c>
      <c r="I13" s="155">
        <v>113.45503581290511</v>
      </c>
      <c r="J13" s="155">
        <v>194.68573031573609</v>
      </c>
    </row>
    <row r="14" spans="1:10">
      <c r="A14" s="154">
        <v>41637</v>
      </c>
      <c r="B14" s="155">
        <v>193.50356985783566</v>
      </c>
      <c r="C14" s="155">
        <v>419.79999999999995</v>
      </c>
      <c r="D14" s="155">
        <v>637.37759305153315</v>
      </c>
      <c r="E14" s="155">
        <v>172.88314905365829</v>
      </c>
      <c r="F14" s="155">
        <v>631.23651745321092</v>
      </c>
      <c r="G14" s="155">
        <v>91.986721279642154</v>
      </c>
      <c r="H14" s="155">
        <v>450.6221232778733</v>
      </c>
      <c r="I14" s="155">
        <v>113.2810955307916</v>
      </c>
      <c r="J14" s="155">
        <v>192.98623118973569</v>
      </c>
    </row>
    <row r="15" spans="1:10">
      <c r="A15" s="154">
        <v>41639</v>
      </c>
      <c r="B15" s="155">
        <v>190.77380125515543</v>
      </c>
      <c r="C15" s="155">
        <v>419.79999999999995</v>
      </c>
      <c r="D15" s="155">
        <v>616.42271327997582</v>
      </c>
      <c r="E15" s="155">
        <v>172.62511450283193</v>
      </c>
      <c r="F15" s="155">
        <v>619.76686651743444</v>
      </c>
      <c r="G15" s="155">
        <v>91.223264453308744</v>
      </c>
      <c r="H15" s="155">
        <v>436.93226652946936</v>
      </c>
      <c r="I15" s="155">
        <v>112.70064238610067</v>
      </c>
      <c r="J15" s="155">
        <v>190.5550417655202</v>
      </c>
    </row>
    <row r="16" spans="1:10">
      <c r="A16" s="154">
        <v>41640</v>
      </c>
      <c r="B16" s="155">
        <v>186.61267418199844</v>
      </c>
      <c r="C16" s="155">
        <v>419.79999999999995</v>
      </c>
      <c r="D16" s="155">
        <v>616.42271327997582</v>
      </c>
      <c r="E16" s="155">
        <v>169.01263079126295</v>
      </c>
      <c r="F16" s="155">
        <v>601.49715199358297</v>
      </c>
      <c r="G16" s="155">
        <v>90.875976927407251</v>
      </c>
      <c r="H16" s="155">
        <v>420.13742632766463</v>
      </c>
      <c r="I16" s="155">
        <v>110.05543889632645</v>
      </c>
      <c r="J16" s="155">
        <v>186.41529609735312</v>
      </c>
    </row>
    <row r="17" spans="1:10">
      <c r="A17" s="154">
        <v>41641</v>
      </c>
      <c r="B17" s="155">
        <v>188.9069614541701</v>
      </c>
      <c r="C17" s="155">
        <v>419.79999999999995</v>
      </c>
      <c r="D17" s="155">
        <v>637.37759305153315</v>
      </c>
      <c r="E17" s="155">
        <v>172.36707995200558</v>
      </c>
      <c r="F17" s="155">
        <v>614.83528896139183</v>
      </c>
      <c r="G17" s="155">
        <v>90.680792751361679</v>
      </c>
      <c r="H17" s="155">
        <v>425.47113631200153</v>
      </c>
      <c r="I17" s="155">
        <v>108.69143505095565</v>
      </c>
      <c r="J17" s="155">
        <v>188.73082457106753</v>
      </c>
    </row>
    <row r="18" spans="1:10">
      <c r="A18" s="154">
        <v>41644</v>
      </c>
      <c r="B18" s="155">
        <v>187.46549979705981</v>
      </c>
      <c r="C18" s="155">
        <v>419.79999999999995</v>
      </c>
      <c r="D18" s="155">
        <v>584.99039362263989</v>
      </c>
      <c r="E18" s="155">
        <v>170.30280354539474</v>
      </c>
      <c r="F18" s="155">
        <v>608.25218027844153</v>
      </c>
      <c r="G18" s="155">
        <v>90.756819586395594</v>
      </c>
      <c r="H18" s="155">
        <v>420.09298070785536</v>
      </c>
      <c r="I18" s="155">
        <v>108.7458315750593</v>
      </c>
      <c r="J18" s="155">
        <v>187.04535476738127</v>
      </c>
    </row>
    <row r="19" spans="1:10">
      <c r="A19" s="154">
        <v>41645</v>
      </c>
      <c r="B19" s="155">
        <v>186.77659348293568</v>
      </c>
      <c r="C19" s="155">
        <v>419.79999999999995</v>
      </c>
      <c r="D19" s="155">
        <v>595.46783350841861</v>
      </c>
      <c r="E19" s="155">
        <v>170.56083809622109</v>
      </c>
      <c r="F19" s="155">
        <v>608.09689710938846</v>
      </c>
      <c r="G19" s="155">
        <v>91.420607616364208</v>
      </c>
      <c r="H19" s="155">
        <v>421.48990435067964</v>
      </c>
      <c r="I19" s="155">
        <v>109.20216877153072</v>
      </c>
      <c r="J19" s="155">
        <v>186.78803565774419</v>
      </c>
    </row>
    <row r="20" spans="1:10">
      <c r="A20" s="154">
        <v>41645</v>
      </c>
      <c r="B20" s="155">
        <v>188.19721750874595</v>
      </c>
      <c r="C20" s="155">
        <v>419.79999999999995</v>
      </c>
      <c r="D20" s="155">
        <v>567.52799381300883</v>
      </c>
      <c r="E20" s="155">
        <v>171.33494174870015</v>
      </c>
      <c r="F20" s="155">
        <v>611.14705732952928</v>
      </c>
      <c r="G20" s="155">
        <v>90.593232764207983</v>
      </c>
      <c r="H20" s="155">
        <v>422.77888622695457</v>
      </c>
      <c r="I20" s="155">
        <v>109.98804498046238</v>
      </c>
      <c r="J20" s="155">
        <v>187.81917946411539</v>
      </c>
    </row>
    <row r="21" spans="1:10">
      <c r="A21" s="154">
        <v>41647</v>
      </c>
      <c r="B21" s="155">
        <v>190.52399982336965</v>
      </c>
      <c r="C21" s="155">
        <v>419.79999999999995</v>
      </c>
      <c r="D21" s="155">
        <v>583.24415364167692</v>
      </c>
      <c r="E21" s="155">
        <v>172.88314905365829</v>
      </c>
      <c r="F21" s="155">
        <v>631.54085229296027</v>
      </c>
      <c r="G21" s="155">
        <v>92.033016761903426</v>
      </c>
      <c r="H21" s="155">
        <v>424.99491521145131</v>
      </c>
      <c r="I21" s="155">
        <v>111.6302537946388</v>
      </c>
      <c r="J21" s="155">
        <v>190.14797673720852</v>
      </c>
    </row>
    <row r="22" spans="1:10">
      <c r="A22" s="154">
        <v>41648</v>
      </c>
      <c r="B22" s="155">
        <v>190.47598376241183</v>
      </c>
      <c r="C22" s="155">
        <v>419.79999999999995</v>
      </c>
      <c r="D22" s="155">
        <v>576.25919371782447</v>
      </c>
      <c r="E22" s="155">
        <v>173.14118360448464</v>
      </c>
      <c r="F22" s="155">
        <v>645.96471782027174</v>
      </c>
      <c r="G22" s="155">
        <v>92.318248759155367</v>
      </c>
      <c r="H22" s="155">
        <v>424.4805930570397</v>
      </c>
      <c r="I22" s="155">
        <v>112.604093739557</v>
      </c>
      <c r="J22" s="155">
        <v>190.37575881747784</v>
      </c>
    </row>
    <row r="23" spans="1:10">
      <c r="A23" s="154">
        <v>41651</v>
      </c>
      <c r="B23" s="155">
        <v>193.56602445274947</v>
      </c>
      <c r="C23" s="230">
        <v>419.79999999999995</v>
      </c>
      <c r="D23" s="155">
        <v>576.25919371782447</v>
      </c>
      <c r="E23" s="155">
        <v>172.10904540117923</v>
      </c>
      <c r="F23" s="155">
        <v>671.4126643722476</v>
      </c>
      <c r="G23" s="155">
        <v>93.333919435403701</v>
      </c>
      <c r="H23" s="155">
        <v>429.63651214759579</v>
      </c>
      <c r="I23" s="155">
        <v>112.92547787998227</v>
      </c>
      <c r="J23" s="155">
        <v>192.69860193749392</v>
      </c>
    </row>
    <row r="24" spans="1:10">
      <c r="A24" s="154">
        <v>41652</v>
      </c>
      <c r="B24" s="155">
        <v>193.01517094862891</v>
      </c>
      <c r="C24" s="155">
        <v>411.44</v>
      </c>
      <c r="D24" s="155">
        <v>593.72159352745552</v>
      </c>
      <c r="E24" s="155">
        <v>172.10904540117923</v>
      </c>
      <c r="F24" s="155">
        <v>684.30968796632237</v>
      </c>
      <c r="G24" s="155">
        <v>92.989693730859216</v>
      </c>
      <c r="H24" s="155">
        <v>428.12529375773079</v>
      </c>
      <c r="I24" s="155">
        <v>114.35136692513636</v>
      </c>
      <c r="J24" s="155">
        <v>192.5435304521983</v>
      </c>
    </row>
    <row r="25" spans="1:10">
      <c r="A25" s="154">
        <v>41653</v>
      </c>
      <c r="B25" s="155">
        <v>193.28732123626051</v>
      </c>
      <c r="C25" s="155">
        <v>411.44</v>
      </c>
      <c r="D25" s="155">
        <v>604.19903341323402</v>
      </c>
      <c r="E25" s="155">
        <v>172.88314905365829</v>
      </c>
      <c r="F25" s="155">
        <v>699.18031094063247</v>
      </c>
      <c r="G25" s="155">
        <v>94.468736237062615</v>
      </c>
      <c r="H25" s="155">
        <v>430.96993964367999</v>
      </c>
      <c r="I25" s="155">
        <v>116.50057457457348</v>
      </c>
      <c r="J25" s="155">
        <v>193.38005179992965</v>
      </c>
    </row>
    <row r="26" spans="1:10">
      <c r="A26" s="289"/>
      <c r="B26" s="46"/>
      <c r="C26" s="46"/>
      <c r="D26" s="46"/>
      <c r="E26" s="46"/>
      <c r="F26" s="46"/>
      <c r="G26" s="46"/>
      <c r="H26" s="46"/>
      <c r="I26" s="46"/>
      <c r="J26" s="46"/>
    </row>
    <row r="27" spans="1:10">
      <c r="A27" s="8"/>
      <c r="B27" s="46"/>
      <c r="C27" s="46"/>
      <c r="D27" s="46"/>
      <c r="E27" s="46"/>
      <c r="F27" s="46"/>
      <c r="G27" s="46"/>
      <c r="H27" s="46"/>
      <c r="I27" s="46"/>
      <c r="J27" s="46"/>
    </row>
    <row r="28" spans="1:10">
      <c r="A28" s="8"/>
      <c r="B28" s="8"/>
      <c r="C28" s="8"/>
      <c r="D28" s="8"/>
      <c r="E28" s="8"/>
      <c r="F28" s="8"/>
      <c r="G28" s="8"/>
      <c r="H28" s="8"/>
      <c r="I28" s="8"/>
      <c r="J28" s="46"/>
    </row>
  </sheetData>
  <mergeCells count="2">
    <mergeCell ref="A2:J2"/>
    <mergeCell ref="A3:J3"/>
  </mergeCells>
  <phoneticPr fontId="41" type="noConversion"/>
  <pageMargins left="1.37" right="0.5" top="1" bottom="1" header="0.5" footer="0.5"/>
  <pageSetup firstPageNumber="13" orientation="landscape" useFirstPageNumber="1" horizontalDpi="180" verticalDpi="180" r:id="rId1"/>
  <headerFooter alignWithMargins="0">
    <oddHeader>&amp;LTable 1.7</oddHeader>
    <oddFooter>&amp;RPage &amp;P</oddFooter>
  </headerFooter>
</worksheet>
</file>

<file path=xl/worksheets/sheet10.xml><?xml version="1.0" encoding="utf-8"?>
<worksheet xmlns="http://schemas.openxmlformats.org/spreadsheetml/2006/main" xmlns:r="http://schemas.openxmlformats.org/officeDocument/2006/relationships">
  <dimension ref="A2:E30"/>
  <sheetViews>
    <sheetView zoomScale="160" zoomScaleNormal="160" workbookViewId="0">
      <selection activeCell="C1" sqref="C1"/>
    </sheetView>
  </sheetViews>
  <sheetFormatPr defaultRowHeight="12.75"/>
  <cols>
    <col min="1" max="1" width="13.85546875" customWidth="1"/>
    <col min="2" max="2" width="16.140625" customWidth="1"/>
    <col min="3" max="3" width="15.28515625" customWidth="1"/>
    <col min="4" max="4" width="13.85546875" bestFit="1" customWidth="1"/>
    <col min="5" max="5" width="10" bestFit="1" customWidth="1"/>
  </cols>
  <sheetData>
    <row r="2" spans="1:5" ht="22.5">
      <c r="A2" s="344" t="s">
        <v>133</v>
      </c>
      <c r="B2" s="344"/>
      <c r="C2" s="344"/>
      <c r="D2" s="344"/>
      <c r="E2" s="344"/>
    </row>
    <row r="3" spans="1:5" ht="15.75">
      <c r="A3" s="334" t="s">
        <v>1057</v>
      </c>
      <c r="B3" s="334"/>
      <c r="C3" s="334"/>
      <c r="D3" s="334"/>
      <c r="E3" s="334"/>
    </row>
    <row r="4" spans="1:5">
      <c r="A4" s="345" t="s">
        <v>63</v>
      </c>
      <c r="B4" s="38" t="s">
        <v>131</v>
      </c>
      <c r="C4" s="38" t="s">
        <v>134</v>
      </c>
      <c r="D4" s="38" t="s">
        <v>135</v>
      </c>
      <c r="E4" s="38" t="s">
        <v>72</v>
      </c>
    </row>
    <row r="5" spans="1:5">
      <c r="A5" s="345"/>
      <c r="B5" s="38" t="s">
        <v>117</v>
      </c>
      <c r="C5" s="38" t="s">
        <v>128</v>
      </c>
      <c r="D5" s="38" t="s">
        <v>117</v>
      </c>
      <c r="E5" s="38" t="s">
        <v>127</v>
      </c>
    </row>
    <row r="6" spans="1:5">
      <c r="A6" s="154">
        <v>41624</v>
      </c>
      <c r="B6" s="155">
        <v>155848.1692370509</v>
      </c>
      <c r="C6" s="155">
        <v>51.612600324367008</v>
      </c>
      <c r="D6" s="155">
        <v>104083.39625025839</v>
      </c>
      <c r="E6" s="155">
        <v>45.155418473830515</v>
      </c>
    </row>
    <row r="7" spans="1:5">
      <c r="A7" s="154">
        <v>41626</v>
      </c>
      <c r="B7" s="155">
        <v>160666.66250904408</v>
      </c>
      <c r="C7" s="155">
        <v>53.208351937173973</v>
      </c>
      <c r="D7" s="155">
        <v>108975.29888002161</v>
      </c>
      <c r="E7" s="155">
        <v>47.277715769444008</v>
      </c>
    </row>
    <row r="8" spans="1:5">
      <c r="A8" s="154">
        <v>41627</v>
      </c>
      <c r="B8" s="155">
        <v>159996.99416412652</v>
      </c>
      <c r="C8" s="155">
        <v>52.986576315392121</v>
      </c>
      <c r="D8" s="155">
        <v>108404.734675744</v>
      </c>
      <c r="E8" s="155">
        <v>47.03018286469139</v>
      </c>
    </row>
    <row r="9" spans="1:5">
      <c r="A9" s="154">
        <v>41628</v>
      </c>
      <c r="B9" s="155">
        <v>159312.99416412652</v>
      </c>
      <c r="C9" s="155">
        <v>52.986575788229594</v>
      </c>
      <c r="D9" s="155">
        <v>107720.734675744</v>
      </c>
      <c r="E9" s="155">
        <v>47.030181805317795</v>
      </c>
    </row>
    <row r="10" spans="1:5">
      <c r="A10" s="154">
        <v>41630</v>
      </c>
      <c r="B10" s="155">
        <v>157447.64277919888</v>
      </c>
      <c r="C10" s="155">
        <v>52.368278264284328</v>
      </c>
      <c r="D10" s="155">
        <v>105749.08226582641</v>
      </c>
      <c r="E10" s="155">
        <v>46.171171210526538</v>
      </c>
    </row>
    <row r="11" spans="1:5">
      <c r="A11" s="154">
        <v>41631</v>
      </c>
      <c r="B11" s="155">
        <v>153831.97181188452</v>
      </c>
      <c r="C11" s="155">
        <v>51.179470495689415</v>
      </c>
      <c r="D11" s="155">
        <v>102560.686983912</v>
      </c>
      <c r="E11" s="155">
        <v>44.801092865476647</v>
      </c>
    </row>
    <row r="12" spans="1:5">
      <c r="A12" s="154">
        <v>41632</v>
      </c>
      <c r="B12" s="155">
        <v>154800.14274554412</v>
      </c>
      <c r="C12" s="155">
        <v>51.501578280894236</v>
      </c>
      <c r="D12" s="155">
        <v>103172.5948700216</v>
      </c>
      <c r="E12" s="155">
        <v>45.068389651768783</v>
      </c>
    </row>
    <row r="13" spans="1:5">
      <c r="A13" s="154">
        <v>41634</v>
      </c>
      <c r="B13" s="155">
        <v>157171.51072938013</v>
      </c>
      <c r="C13" s="155">
        <v>52.290525834082793</v>
      </c>
      <c r="D13" s="155">
        <v>105251.5004533576</v>
      </c>
      <c r="E13" s="155">
        <v>45.976508004293123</v>
      </c>
    </row>
    <row r="14" spans="1:5">
      <c r="A14" s="154">
        <v>41639</v>
      </c>
      <c r="B14" s="155">
        <v>155320.12491176129</v>
      </c>
      <c r="C14" s="155">
        <v>51.808772450884611</v>
      </c>
      <c r="D14" s="155">
        <v>104153.00304880881</v>
      </c>
      <c r="E14" s="155">
        <v>45.550298789017916</v>
      </c>
    </row>
    <row r="15" spans="1:5">
      <c r="A15" s="154">
        <v>41640</v>
      </c>
      <c r="B15" s="155">
        <v>151322.00059441861</v>
      </c>
      <c r="C15" s="155">
        <v>50.51334883867186</v>
      </c>
      <c r="D15" s="155">
        <v>101041.4902840936</v>
      </c>
      <c r="E15" s="155">
        <v>44.198954903563767</v>
      </c>
    </row>
    <row r="16" spans="1:5">
      <c r="A16" s="154">
        <v>41641</v>
      </c>
      <c r="B16" s="155">
        <v>152690.44313108537</v>
      </c>
      <c r="C16" s="155">
        <v>51.081530298741718</v>
      </c>
      <c r="D16" s="155">
        <v>101944.3923847104</v>
      </c>
      <c r="E16" s="155">
        <v>44.740008358523859</v>
      </c>
    </row>
    <row r="17" spans="1:5">
      <c r="A17" s="154">
        <v>41644</v>
      </c>
      <c r="B17" s="155">
        <v>151706.2511355461</v>
      </c>
      <c r="C17" s="155">
        <v>50.752275682611234</v>
      </c>
      <c r="D17" s="155">
        <v>100881.16329901357</v>
      </c>
      <c r="E17" s="155">
        <v>44.273392421458972</v>
      </c>
    </row>
    <row r="18" spans="1:5">
      <c r="A18" s="154">
        <v>41645</v>
      </c>
      <c r="B18" s="155">
        <v>151526.29579214568</v>
      </c>
      <c r="C18" s="155">
        <v>50.692072868749229</v>
      </c>
      <c r="D18" s="155">
        <v>100645.84487492319</v>
      </c>
      <c r="E18" s="155">
        <v>44.170118979787091</v>
      </c>
    </row>
    <row r="19" spans="1:5">
      <c r="A19" s="154">
        <v>41645</v>
      </c>
      <c r="B19" s="155">
        <v>152579.86685230487</v>
      </c>
      <c r="C19" s="155">
        <v>51.044537770466725</v>
      </c>
      <c r="D19" s="155">
        <v>101233.94576968242</v>
      </c>
      <c r="E19" s="155">
        <v>44.428216932324688</v>
      </c>
    </row>
    <row r="20" spans="1:5">
      <c r="A20" s="154">
        <v>41647</v>
      </c>
      <c r="B20" s="155">
        <v>154377.60064609276</v>
      </c>
      <c r="C20" s="155">
        <v>51.645957161054326</v>
      </c>
      <c r="D20" s="155">
        <v>102395.42911759279</v>
      </c>
      <c r="E20" s="155">
        <v>44.937953402161057</v>
      </c>
    </row>
    <row r="21" spans="1:5">
      <c r="A21" s="154">
        <v>41648</v>
      </c>
      <c r="B21" s="155">
        <v>154942.88909307803</v>
      </c>
      <c r="C21" s="155">
        <v>51.835070496113659</v>
      </c>
      <c r="D21" s="155">
        <v>102830.862232288</v>
      </c>
      <c r="E21" s="155">
        <v>45.12905053595459</v>
      </c>
    </row>
    <row r="22" spans="1:5">
      <c r="A22" s="154">
        <v>41651</v>
      </c>
      <c r="B22" s="155">
        <v>156991.466840885</v>
      </c>
      <c r="C22" s="155">
        <v>52.520407994309871</v>
      </c>
      <c r="D22" s="155">
        <v>104615.26558303997</v>
      </c>
      <c r="E22" s="155">
        <v>45.912165908562322</v>
      </c>
    </row>
    <row r="23" spans="1:5">
      <c r="A23" s="154">
        <v>41652</v>
      </c>
      <c r="B23" s="155">
        <v>156839.40014416099</v>
      </c>
      <c r="C23" s="155">
        <v>52.469535134051895</v>
      </c>
      <c r="D23" s="155">
        <v>104210.591757716</v>
      </c>
      <c r="E23" s="155">
        <v>45.734568005392262</v>
      </c>
    </row>
    <row r="24" spans="1:5">
      <c r="A24" s="154">
        <v>41653</v>
      </c>
      <c r="B24" s="155">
        <v>157413.34685629781</v>
      </c>
      <c r="C24" s="155">
        <v>52.661545031755253</v>
      </c>
      <c r="D24" s="155">
        <v>104215.76854465282</v>
      </c>
      <c r="E24" s="155">
        <v>45.736839925263538</v>
      </c>
    </row>
    <row r="25" spans="1:5">
      <c r="A25" s="289"/>
      <c r="B25" s="46"/>
      <c r="C25" s="46"/>
      <c r="D25" s="46"/>
      <c r="E25" s="46"/>
    </row>
    <row r="26" spans="1:5">
      <c r="A26" s="8"/>
      <c r="B26" s="8"/>
      <c r="C26" s="46"/>
      <c r="D26" s="8"/>
      <c r="E26" s="46"/>
    </row>
    <row r="27" spans="1:5">
      <c r="A27" s="8"/>
      <c r="B27" s="8"/>
      <c r="C27" s="46"/>
      <c r="D27" s="8"/>
      <c r="E27" s="46"/>
    </row>
    <row r="28" spans="1:5">
      <c r="A28" s="8"/>
      <c r="B28" s="8"/>
      <c r="C28" s="8"/>
      <c r="D28" s="8"/>
      <c r="E28" s="8"/>
    </row>
    <row r="29" spans="1:5">
      <c r="A29" s="8"/>
      <c r="B29" s="8"/>
      <c r="C29" s="8"/>
      <c r="D29" s="8"/>
      <c r="E29" s="8"/>
    </row>
    <row r="30" spans="1:5">
      <c r="B30" s="115"/>
      <c r="C30" s="115"/>
      <c r="D30" s="115"/>
      <c r="E30" s="115"/>
    </row>
  </sheetData>
  <mergeCells count="3">
    <mergeCell ref="A2:E2"/>
    <mergeCell ref="A3:E3"/>
    <mergeCell ref="A4:A5"/>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576"/>
  <sheetViews>
    <sheetView showGridLines="0" tabSelected="1" zoomScale="115" zoomScaleNormal="115" workbookViewId="0">
      <pane ySplit="5" topLeftCell="A6" activePane="bottomLeft" state="frozen"/>
      <selection pane="bottomLeft" activeCell="A169" sqref="A169:A257"/>
    </sheetView>
  </sheetViews>
  <sheetFormatPr defaultColWidth="9.140625" defaultRowHeight="12.75"/>
  <cols>
    <col min="1" max="1" width="4.5703125" style="178" customWidth="1"/>
    <col min="2" max="2" width="37" style="180" bestFit="1" customWidth="1"/>
    <col min="3" max="3" width="8.42578125" style="178" customWidth="1"/>
    <col min="4" max="4" width="5.28515625" style="178" customWidth="1"/>
    <col min="5" max="5" width="12.28515625" style="178" customWidth="1"/>
    <col min="6" max="6" width="9.42578125" style="178" customWidth="1"/>
    <col min="7" max="7" width="13.140625" style="178" bestFit="1" customWidth="1"/>
    <col min="8" max="8" width="9" style="425" customWidth="1"/>
    <col min="9" max="9" width="18" style="178" bestFit="1" customWidth="1"/>
    <col min="10" max="16384" width="9.140625" style="178"/>
  </cols>
  <sheetData>
    <row r="1" spans="1:9" s="177" customFormat="1" ht="18.75" customHeight="1">
      <c r="A1" s="349"/>
      <c r="B1" s="350"/>
      <c r="C1" s="350"/>
      <c r="D1" s="350"/>
      <c r="E1" s="350"/>
      <c r="F1" s="350"/>
      <c r="G1" s="350"/>
      <c r="H1" s="350"/>
      <c r="I1" s="350"/>
    </row>
    <row r="2" spans="1:9" s="177" customFormat="1" ht="19.5" customHeight="1">
      <c r="A2" s="351" t="s">
        <v>1062</v>
      </c>
      <c r="B2" s="351"/>
      <c r="C2" s="351"/>
      <c r="D2" s="351"/>
      <c r="E2" s="351"/>
      <c r="F2" s="351"/>
      <c r="G2" s="351"/>
      <c r="H2" s="351"/>
      <c r="I2" s="351"/>
    </row>
    <row r="3" spans="1:9" ht="15" customHeight="1">
      <c r="A3" s="381"/>
      <c r="B3" s="381" t="s">
        <v>3</v>
      </c>
      <c r="C3" s="382" t="s">
        <v>323</v>
      </c>
      <c r="D3" s="382" t="s">
        <v>323</v>
      </c>
      <c r="E3" s="382" t="s">
        <v>324</v>
      </c>
      <c r="F3" s="382" t="s">
        <v>325</v>
      </c>
      <c r="G3" s="382" t="s">
        <v>326</v>
      </c>
      <c r="H3" s="383" t="s">
        <v>1058</v>
      </c>
      <c r="I3" s="384" t="s">
        <v>328</v>
      </c>
    </row>
    <row r="4" spans="1:9" ht="15" customHeight="1">
      <c r="A4" s="381"/>
      <c r="B4" s="385" t="s">
        <v>60</v>
      </c>
      <c r="C4" s="382" t="s">
        <v>329</v>
      </c>
      <c r="D4" s="382" t="s">
        <v>329</v>
      </c>
      <c r="E4" s="382" t="s">
        <v>330</v>
      </c>
      <c r="F4" s="382" t="s">
        <v>331</v>
      </c>
      <c r="G4" s="382" t="s">
        <v>332</v>
      </c>
      <c r="H4" s="383" t="s">
        <v>23</v>
      </c>
      <c r="I4" s="382" t="s">
        <v>38</v>
      </c>
    </row>
    <row r="5" spans="1:9" ht="15" customHeight="1">
      <c r="A5" s="386"/>
      <c r="B5" s="386" t="s">
        <v>3</v>
      </c>
      <c r="C5" s="386"/>
      <c r="D5" s="386" t="s">
        <v>333</v>
      </c>
      <c r="E5" s="386" t="s">
        <v>3</v>
      </c>
      <c r="F5" s="387" t="s">
        <v>334</v>
      </c>
      <c r="G5" s="386" t="s">
        <v>3</v>
      </c>
      <c r="H5" s="388" t="s">
        <v>83</v>
      </c>
      <c r="I5" s="389">
        <v>41653</v>
      </c>
    </row>
    <row r="6" spans="1:9" ht="15" customHeight="1">
      <c r="A6" s="390">
        <v>1</v>
      </c>
      <c r="B6" s="391" t="s">
        <v>35</v>
      </c>
      <c r="C6" s="390" t="s">
        <v>335</v>
      </c>
      <c r="D6" s="391">
        <v>102</v>
      </c>
      <c r="E6" s="390">
        <v>30460518</v>
      </c>
      <c r="F6" s="391">
        <v>100</v>
      </c>
      <c r="G6" s="390">
        <f t="shared" ref="G6:G20" si="0">+E6*F6</f>
        <v>3046051800</v>
      </c>
      <c r="H6" s="392">
        <v>2220</v>
      </c>
      <c r="I6" s="390">
        <f t="shared" ref="I6:I20" si="1">SUM(E6*H6)</f>
        <v>67622349960</v>
      </c>
    </row>
    <row r="7" spans="1:9" ht="15" customHeight="1">
      <c r="A7" s="390">
        <v>2</v>
      </c>
      <c r="B7" s="393" t="s">
        <v>34</v>
      </c>
      <c r="C7" s="381" t="s">
        <v>336</v>
      </c>
      <c r="D7" s="393">
        <v>103</v>
      </c>
      <c r="E7" s="381">
        <v>41448085</v>
      </c>
      <c r="F7" s="393">
        <v>100</v>
      </c>
      <c r="G7" s="381">
        <f t="shared" si="0"/>
        <v>4144808500</v>
      </c>
      <c r="H7" s="394">
        <v>1010</v>
      </c>
      <c r="I7" s="381">
        <f t="shared" si="1"/>
        <v>41862565850</v>
      </c>
    </row>
    <row r="8" spans="1:9" s="181" customFormat="1" ht="15" customHeight="1">
      <c r="A8" s="390">
        <v>3</v>
      </c>
      <c r="B8" s="393" t="s">
        <v>36</v>
      </c>
      <c r="C8" s="381" t="s">
        <v>337</v>
      </c>
      <c r="D8" s="393">
        <v>104</v>
      </c>
      <c r="E8" s="395">
        <v>20392900</v>
      </c>
      <c r="F8" s="393">
        <v>100</v>
      </c>
      <c r="G8" s="381">
        <f t="shared" si="0"/>
        <v>2039290000</v>
      </c>
      <c r="H8" s="394">
        <v>1951</v>
      </c>
      <c r="I8" s="381">
        <f t="shared" si="1"/>
        <v>39786547900</v>
      </c>
    </row>
    <row r="9" spans="1:9" ht="15" customHeight="1">
      <c r="A9" s="390">
        <v>4</v>
      </c>
      <c r="B9" s="393" t="s">
        <v>30</v>
      </c>
      <c r="C9" s="381" t="s">
        <v>338</v>
      </c>
      <c r="D9" s="393">
        <v>105</v>
      </c>
      <c r="E9" s="381">
        <v>27600000</v>
      </c>
      <c r="F9" s="393">
        <v>100</v>
      </c>
      <c r="G9" s="381">
        <f t="shared" si="0"/>
        <v>2760000000</v>
      </c>
      <c r="H9" s="394">
        <v>890</v>
      </c>
      <c r="I9" s="381">
        <f t="shared" si="1"/>
        <v>24564000000</v>
      </c>
    </row>
    <row r="10" spans="1:9" ht="15" customHeight="1">
      <c r="A10" s="390">
        <v>5</v>
      </c>
      <c r="B10" s="393" t="s">
        <v>7</v>
      </c>
      <c r="C10" s="381" t="s">
        <v>339</v>
      </c>
      <c r="D10" s="393">
        <v>106</v>
      </c>
      <c r="E10" s="381">
        <v>26482515</v>
      </c>
      <c r="F10" s="393">
        <v>100</v>
      </c>
      <c r="G10" s="381">
        <f t="shared" si="0"/>
        <v>2648251500</v>
      </c>
      <c r="H10" s="394">
        <v>1115</v>
      </c>
      <c r="I10" s="381">
        <f t="shared" si="1"/>
        <v>29528004225</v>
      </c>
    </row>
    <row r="11" spans="1:9" ht="15" customHeight="1">
      <c r="A11" s="390">
        <v>6</v>
      </c>
      <c r="B11" s="393" t="s">
        <v>163</v>
      </c>
      <c r="C11" s="381" t="s">
        <v>340</v>
      </c>
      <c r="D11" s="393">
        <v>107</v>
      </c>
      <c r="E11" s="381">
        <v>20103890</v>
      </c>
      <c r="F11" s="393">
        <v>100</v>
      </c>
      <c r="G11" s="381">
        <f t="shared" si="0"/>
        <v>2010389000</v>
      </c>
      <c r="H11" s="394">
        <v>625</v>
      </c>
      <c r="I11" s="381">
        <f t="shared" si="1"/>
        <v>12564931250</v>
      </c>
    </row>
    <row r="12" spans="1:9" ht="15" customHeight="1">
      <c r="A12" s="390">
        <v>7</v>
      </c>
      <c r="B12" s="393" t="s">
        <v>32</v>
      </c>
      <c r="C12" s="381" t="s">
        <v>341</v>
      </c>
      <c r="D12" s="393">
        <v>108</v>
      </c>
      <c r="E12" s="381">
        <v>17612390</v>
      </c>
      <c r="F12" s="393">
        <v>100</v>
      </c>
      <c r="G12" s="381">
        <f t="shared" si="0"/>
        <v>1761239000</v>
      </c>
      <c r="H12" s="394">
        <v>2210</v>
      </c>
      <c r="I12" s="381">
        <f t="shared" si="1"/>
        <v>38923381900</v>
      </c>
    </row>
    <row r="13" spans="1:9" ht="15" customHeight="1">
      <c r="A13" s="390">
        <v>8</v>
      </c>
      <c r="B13" s="393" t="s">
        <v>4</v>
      </c>
      <c r="C13" s="381" t="s">
        <v>342</v>
      </c>
      <c r="D13" s="393">
        <v>109</v>
      </c>
      <c r="E13" s="381">
        <v>19202122</v>
      </c>
      <c r="F13" s="393">
        <v>100</v>
      </c>
      <c r="G13" s="381">
        <f t="shared" si="0"/>
        <v>1920212200</v>
      </c>
      <c r="H13" s="394">
        <v>644</v>
      </c>
      <c r="I13" s="381">
        <f t="shared" si="1"/>
        <v>12366166568</v>
      </c>
    </row>
    <row r="14" spans="1:9" s="182" customFormat="1" ht="15.75" customHeight="1">
      <c r="A14" s="390">
        <v>9</v>
      </c>
      <c r="B14" s="393" t="s">
        <v>236</v>
      </c>
      <c r="C14" s="381" t="s">
        <v>343</v>
      </c>
      <c r="D14" s="393">
        <v>110</v>
      </c>
      <c r="E14" s="381">
        <v>23115520</v>
      </c>
      <c r="F14" s="393">
        <v>100</v>
      </c>
      <c r="G14" s="381">
        <f t="shared" si="0"/>
        <v>2311552000</v>
      </c>
      <c r="H14" s="394">
        <v>814</v>
      </c>
      <c r="I14" s="381">
        <f t="shared" si="1"/>
        <v>18816033280</v>
      </c>
    </row>
    <row r="15" spans="1:9" ht="15" customHeight="1">
      <c r="A15" s="390">
        <v>10</v>
      </c>
      <c r="B15" s="393" t="s">
        <v>194</v>
      </c>
      <c r="C15" s="381" t="s">
        <v>344</v>
      </c>
      <c r="D15" s="393">
        <v>111</v>
      </c>
      <c r="E15" s="381">
        <v>24781817</v>
      </c>
      <c r="F15" s="393">
        <v>100</v>
      </c>
      <c r="G15" s="381">
        <f t="shared" si="0"/>
        <v>2478181700</v>
      </c>
      <c r="H15" s="394">
        <v>480</v>
      </c>
      <c r="I15" s="381">
        <f t="shared" si="1"/>
        <v>11895272160</v>
      </c>
    </row>
    <row r="16" spans="1:9" ht="13.5" customHeight="1">
      <c r="A16" s="390">
        <v>11</v>
      </c>
      <c r="B16" s="393" t="s">
        <v>152</v>
      </c>
      <c r="C16" s="381" t="s">
        <v>345</v>
      </c>
      <c r="D16" s="393">
        <v>112</v>
      </c>
      <c r="E16" s="381">
        <v>16941965</v>
      </c>
      <c r="F16" s="393">
        <v>100</v>
      </c>
      <c r="G16" s="381">
        <f t="shared" si="0"/>
        <v>1694196500</v>
      </c>
      <c r="H16" s="394">
        <v>522</v>
      </c>
      <c r="I16" s="381">
        <f t="shared" si="1"/>
        <v>8843705730</v>
      </c>
    </row>
    <row r="17" spans="1:9" ht="15" customHeight="1">
      <c r="A17" s="390">
        <v>12</v>
      </c>
      <c r="B17" s="393" t="s">
        <v>84</v>
      </c>
      <c r="C17" s="381" t="s">
        <v>346</v>
      </c>
      <c r="D17" s="393">
        <v>113</v>
      </c>
      <c r="E17" s="381">
        <v>16033128</v>
      </c>
      <c r="F17" s="393">
        <v>100</v>
      </c>
      <c r="G17" s="381">
        <f t="shared" si="0"/>
        <v>1603312800</v>
      </c>
      <c r="H17" s="394">
        <v>579</v>
      </c>
      <c r="I17" s="381">
        <f t="shared" si="1"/>
        <v>9283181112</v>
      </c>
    </row>
    <row r="18" spans="1:9" ht="15" customHeight="1">
      <c r="A18" s="390">
        <v>13</v>
      </c>
      <c r="B18" s="393" t="s">
        <v>65</v>
      </c>
      <c r="C18" s="381" t="s">
        <v>347</v>
      </c>
      <c r="D18" s="393">
        <v>114</v>
      </c>
      <c r="E18" s="381">
        <v>16016000</v>
      </c>
      <c r="F18" s="393">
        <v>100</v>
      </c>
      <c r="G18" s="381">
        <f t="shared" si="0"/>
        <v>1601600000</v>
      </c>
      <c r="H18" s="394">
        <v>280</v>
      </c>
      <c r="I18" s="381">
        <f t="shared" si="1"/>
        <v>4484480000</v>
      </c>
    </row>
    <row r="19" spans="1:9" ht="15" customHeight="1">
      <c r="A19" s="390">
        <v>14</v>
      </c>
      <c r="B19" s="393" t="s">
        <v>348</v>
      </c>
      <c r="C19" s="381" t="s">
        <v>349</v>
      </c>
      <c r="D19" s="393">
        <v>115</v>
      </c>
      <c r="E19" s="381">
        <v>14677110</v>
      </c>
      <c r="F19" s="393">
        <v>100</v>
      </c>
      <c r="G19" s="381">
        <f>+E19*F19</f>
        <v>1467711000</v>
      </c>
      <c r="H19" s="394">
        <v>418</v>
      </c>
      <c r="I19" s="381">
        <f t="shared" si="1"/>
        <v>6135031980</v>
      </c>
    </row>
    <row r="20" spans="1:9" ht="15" customHeight="1">
      <c r="A20" s="390">
        <v>15</v>
      </c>
      <c r="B20" s="393" t="s">
        <v>39</v>
      </c>
      <c r="C20" s="381" t="s">
        <v>350</v>
      </c>
      <c r="D20" s="393">
        <v>116</v>
      </c>
      <c r="E20" s="381">
        <v>18135536</v>
      </c>
      <c r="F20" s="393">
        <v>100</v>
      </c>
      <c r="G20" s="381">
        <f t="shared" si="0"/>
        <v>1813553600</v>
      </c>
      <c r="H20" s="394">
        <v>600</v>
      </c>
      <c r="I20" s="381">
        <f t="shared" si="1"/>
        <v>10881321600</v>
      </c>
    </row>
    <row r="21" spans="1:9" ht="15" customHeight="1">
      <c r="A21" s="390">
        <v>16</v>
      </c>
      <c r="B21" s="393" t="s">
        <v>119</v>
      </c>
      <c r="C21" s="381" t="s">
        <v>351</v>
      </c>
      <c r="D21" s="393">
        <v>117</v>
      </c>
      <c r="E21" s="381">
        <v>20000000</v>
      </c>
      <c r="F21" s="393">
        <v>100</v>
      </c>
      <c r="G21" s="381">
        <f t="shared" ref="G21:G34" si="2">F21*E21</f>
        <v>2000000000</v>
      </c>
      <c r="H21" s="394">
        <v>420</v>
      </c>
      <c r="I21" s="381">
        <f t="shared" ref="I21:I34" si="3">H21*E21</f>
        <v>8400000000</v>
      </c>
    </row>
    <row r="22" spans="1:9" ht="15" customHeight="1">
      <c r="A22" s="390">
        <v>17</v>
      </c>
      <c r="B22" s="393" t="s">
        <v>352</v>
      </c>
      <c r="C22" s="381" t="s">
        <v>353</v>
      </c>
      <c r="D22" s="393">
        <v>118</v>
      </c>
      <c r="E22" s="381">
        <v>20000524</v>
      </c>
      <c r="F22" s="393">
        <v>100</v>
      </c>
      <c r="G22" s="381">
        <f t="shared" si="2"/>
        <v>2000052400</v>
      </c>
      <c r="H22" s="394">
        <v>304</v>
      </c>
      <c r="I22" s="381">
        <f t="shared" si="3"/>
        <v>6080159296</v>
      </c>
    </row>
    <row r="23" spans="1:9" s="182" customFormat="1" ht="18" customHeight="1">
      <c r="A23" s="390">
        <v>18</v>
      </c>
      <c r="B23" s="393" t="s">
        <v>198</v>
      </c>
      <c r="C23" s="381" t="s">
        <v>354</v>
      </c>
      <c r="D23" s="393">
        <v>119</v>
      </c>
      <c r="E23" s="381">
        <v>24181378</v>
      </c>
      <c r="F23" s="393">
        <v>100</v>
      </c>
      <c r="G23" s="381">
        <f t="shared" si="2"/>
        <v>2418137800</v>
      </c>
      <c r="H23" s="394">
        <v>430</v>
      </c>
      <c r="I23" s="381">
        <f t="shared" si="3"/>
        <v>10397992540</v>
      </c>
    </row>
    <row r="24" spans="1:9" ht="16.899999999999999" customHeight="1">
      <c r="A24" s="390">
        <v>19</v>
      </c>
      <c r="B24" s="393" t="s">
        <v>355</v>
      </c>
      <c r="C24" s="381" t="s">
        <v>356</v>
      </c>
      <c r="D24" s="393">
        <v>120</v>
      </c>
      <c r="E24" s="381">
        <v>20000000</v>
      </c>
      <c r="F24" s="393">
        <v>100</v>
      </c>
      <c r="G24" s="381">
        <f t="shared" si="2"/>
        <v>2000000000</v>
      </c>
      <c r="H24" s="394">
        <v>234</v>
      </c>
      <c r="I24" s="381">
        <f t="shared" si="3"/>
        <v>4680000000</v>
      </c>
    </row>
    <row r="25" spans="1:9" ht="15" customHeight="1">
      <c r="A25" s="390">
        <v>20</v>
      </c>
      <c r="B25" s="393" t="s">
        <v>357</v>
      </c>
      <c r="C25" s="381" t="s">
        <v>358</v>
      </c>
      <c r="D25" s="393">
        <v>121</v>
      </c>
      <c r="E25" s="381">
        <v>21000000</v>
      </c>
      <c r="F25" s="393">
        <v>100</v>
      </c>
      <c r="G25" s="381">
        <f t="shared" si="2"/>
        <v>2100000000</v>
      </c>
      <c r="H25" s="394">
        <v>453</v>
      </c>
      <c r="I25" s="381">
        <f t="shared" si="3"/>
        <v>9513000000</v>
      </c>
    </row>
    <row r="26" spans="1:9" ht="15" customHeight="1">
      <c r="A26" s="390">
        <v>21</v>
      </c>
      <c r="B26" s="393" t="s">
        <v>138</v>
      </c>
      <c r="C26" s="381" t="s">
        <v>359</v>
      </c>
      <c r="D26" s="393">
        <v>123</v>
      </c>
      <c r="E26" s="381">
        <v>25744458</v>
      </c>
      <c r="F26" s="393">
        <v>100</v>
      </c>
      <c r="G26" s="381">
        <f>F26*E26</f>
        <v>2574445800</v>
      </c>
      <c r="H26" s="394">
        <v>508</v>
      </c>
      <c r="I26" s="381">
        <f>H26*E26</f>
        <v>13078184664</v>
      </c>
    </row>
    <row r="27" spans="1:9" ht="15" customHeight="1">
      <c r="A27" s="390">
        <v>22</v>
      </c>
      <c r="B27" s="393" t="s">
        <v>139</v>
      </c>
      <c r="C27" s="381" t="s">
        <v>360</v>
      </c>
      <c r="D27" s="393">
        <v>124</v>
      </c>
      <c r="E27" s="381">
        <v>21125000</v>
      </c>
      <c r="F27" s="393">
        <v>100</v>
      </c>
      <c r="G27" s="381">
        <f t="shared" si="2"/>
        <v>2112500000</v>
      </c>
      <c r="H27" s="394">
        <v>445</v>
      </c>
      <c r="I27" s="386">
        <f t="shared" si="3"/>
        <v>9400625000</v>
      </c>
    </row>
    <row r="28" spans="1:9" ht="15" customHeight="1">
      <c r="A28" s="390">
        <v>23</v>
      </c>
      <c r="B28" s="393" t="s">
        <v>361</v>
      </c>
      <c r="C28" s="381" t="s">
        <v>362</v>
      </c>
      <c r="D28" s="393">
        <v>125</v>
      </c>
      <c r="E28" s="381">
        <v>30375000</v>
      </c>
      <c r="F28" s="393">
        <v>100</v>
      </c>
      <c r="G28" s="381">
        <f t="shared" si="2"/>
        <v>3037500000</v>
      </c>
      <c r="H28" s="394">
        <v>501</v>
      </c>
      <c r="I28" s="386">
        <f t="shared" si="3"/>
        <v>15217875000</v>
      </c>
    </row>
    <row r="29" spans="1:9" ht="15" customHeight="1">
      <c r="A29" s="390">
        <v>24</v>
      </c>
      <c r="B29" s="393" t="s">
        <v>181</v>
      </c>
      <c r="C29" s="381" t="s">
        <v>363</v>
      </c>
      <c r="D29" s="393">
        <v>126</v>
      </c>
      <c r="E29" s="381">
        <v>22173636</v>
      </c>
      <c r="F29" s="393">
        <v>100</v>
      </c>
      <c r="G29" s="381">
        <f t="shared" si="2"/>
        <v>2217363600</v>
      </c>
      <c r="H29" s="394">
        <v>524</v>
      </c>
      <c r="I29" s="386">
        <f t="shared" si="3"/>
        <v>11618985264</v>
      </c>
    </row>
    <row r="30" spans="1:9" ht="15" customHeight="1">
      <c r="A30" s="390">
        <v>25</v>
      </c>
      <c r="B30" s="393" t="s">
        <v>364</v>
      </c>
      <c r="C30" s="381" t="s">
        <v>365</v>
      </c>
      <c r="D30" s="393">
        <v>127</v>
      </c>
      <c r="E30" s="381">
        <v>20600000</v>
      </c>
      <c r="F30" s="393">
        <v>100</v>
      </c>
      <c r="G30" s="381">
        <f t="shared" si="2"/>
        <v>2060000000</v>
      </c>
      <c r="H30" s="394">
        <v>302</v>
      </c>
      <c r="I30" s="386">
        <f t="shared" si="3"/>
        <v>6221200000</v>
      </c>
    </row>
    <row r="31" spans="1:9" ht="15" customHeight="1">
      <c r="A31" s="390">
        <v>26</v>
      </c>
      <c r="B31" s="393" t="s">
        <v>366</v>
      </c>
      <c r="C31" s="381" t="s">
        <v>367</v>
      </c>
      <c r="D31" s="393">
        <v>101</v>
      </c>
      <c r="E31" s="381">
        <v>40000000</v>
      </c>
      <c r="F31" s="393">
        <v>100</v>
      </c>
      <c r="G31" s="381">
        <f t="shared" si="2"/>
        <v>4000000000</v>
      </c>
      <c r="H31" s="394">
        <v>356</v>
      </c>
      <c r="I31" s="386">
        <f t="shared" si="3"/>
        <v>14240000000</v>
      </c>
    </row>
    <row r="32" spans="1:9" s="182" customFormat="1" ht="15" customHeight="1">
      <c r="A32" s="390">
        <v>27</v>
      </c>
      <c r="B32" s="393" t="s">
        <v>212</v>
      </c>
      <c r="C32" s="381" t="s">
        <v>368</v>
      </c>
      <c r="D32" s="393">
        <v>128</v>
      </c>
      <c r="E32" s="381">
        <v>20000000</v>
      </c>
      <c r="F32" s="393">
        <v>100</v>
      </c>
      <c r="G32" s="381">
        <f t="shared" si="2"/>
        <v>2000000000</v>
      </c>
      <c r="H32" s="394">
        <v>138</v>
      </c>
      <c r="I32" s="386">
        <f t="shared" si="3"/>
        <v>2760000000</v>
      </c>
    </row>
    <row r="33" spans="1:9" s="182" customFormat="1" ht="15" customHeight="1">
      <c r="A33" s="390">
        <v>28</v>
      </c>
      <c r="B33" s="393" t="s">
        <v>235</v>
      </c>
      <c r="C33" s="381" t="s">
        <v>369</v>
      </c>
      <c r="D33" s="393">
        <v>129</v>
      </c>
      <c r="E33" s="381">
        <v>20000000</v>
      </c>
      <c r="F33" s="393">
        <v>100</v>
      </c>
      <c r="G33" s="381">
        <f t="shared" si="2"/>
        <v>2000000000</v>
      </c>
      <c r="H33" s="394">
        <v>215</v>
      </c>
      <c r="I33" s="386">
        <f t="shared" si="3"/>
        <v>4300000000</v>
      </c>
    </row>
    <row r="34" spans="1:9" s="182" customFormat="1" ht="15" customHeight="1">
      <c r="A34" s="390">
        <v>29</v>
      </c>
      <c r="B34" s="393" t="s">
        <v>370</v>
      </c>
      <c r="C34" s="381" t="s">
        <v>371</v>
      </c>
      <c r="D34" s="393">
        <v>130</v>
      </c>
      <c r="E34" s="381">
        <v>23300000</v>
      </c>
      <c r="F34" s="393">
        <v>100</v>
      </c>
      <c r="G34" s="381">
        <f t="shared" si="2"/>
        <v>2330000000</v>
      </c>
      <c r="H34" s="394">
        <v>444</v>
      </c>
      <c r="I34" s="386">
        <f t="shared" si="3"/>
        <v>10345200000</v>
      </c>
    </row>
    <row r="35" spans="1:9" ht="15" customHeight="1">
      <c r="A35" s="396"/>
      <c r="B35" s="397" t="s">
        <v>372</v>
      </c>
      <c r="C35" s="396"/>
      <c r="D35" s="397"/>
      <c r="E35" s="396">
        <f>SUM(E6:E34)</f>
        <v>661503492</v>
      </c>
      <c r="F35" s="397"/>
      <c r="G35" s="396">
        <f>SUM(G6:G34)</f>
        <v>66150349200</v>
      </c>
      <c r="H35" s="398"/>
      <c r="I35" s="399">
        <f>SUM(I6:I34)</f>
        <v>463810195279</v>
      </c>
    </row>
    <row r="36" spans="1:9" ht="15" customHeight="1">
      <c r="A36" s="381" t="s">
        <v>3</v>
      </c>
      <c r="B36" s="400" t="s">
        <v>373</v>
      </c>
      <c r="C36" s="381"/>
      <c r="D36" s="393"/>
      <c r="E36" s="381" t="s">
        <v>3</v>
      </c>
      <c r="F36" s="393"/>
      <c r="G36" s="381" t="s">
        <v>3</v>
      </c>
      <c r="H36" s="394"/>
      <c r="I36" s="381"/>
    </row>
    <row r="37" spans="1:9" ht="15" customHeight="1">
      <c r="A37" s="381">
        <v>30</v>
      </c>
      <c r="B37" s="393" t="s">
        <v>374</v>
      </c>
      <c r="C37" s="381" t="s">
        <v>375</v>
      </c>
      <c r="D37" s="393">
        <v>206</v>
      </c>
      <c r="E37" s="381">
        <v>1948887</v>
      </c>
      <c r="F37" s="393">
        <v>100</v>
      </c>
      <c r="G37" s="381">
        <f t="shared" ref="G37:G49" si="4">+E37*F37</f>
        <v>194888700</v>
      </c>
      <c r="H37" s="394">
        <v>1680</v>
      </c>
      <c r="I37" s="381">
        <f t="shared" ref="I37:I54" si="5">SUM(E37*H37)</f>
        <v>3274130160</v>
      </c>
    </row>
    <row r="38" spans="1:9" ht="15" customHeight="1">
      <c r="A38" s="381">
        <v>31</v>
      </c>
      <c r="B38" s="393" t="s">
        <v>376</v>
      </c>
      <c r="C38" s="381" t="s">
        <v>377</v>
      </c>
      <c r="D38" s="393">
        <v>208</v>
      </c>
      <c r="E38" s="381">
        <v>203936</v>
      </c>
      <c r="F38" s="393">
        <v>100</v>
      </c>
      <c r="G38" s="381">
        <f t="shared" si="4"/>
        <v>20393600</v>
      </c>
      <c r="H38" s="394">
        <v>242</v>
      </c>
      <c r="I38" s="381">
        <f t="shared" si="5"/>
        <v>49352512</v>
      </c>
    </row>
    <row r="39" spans="1:9" ht="15" customHeight="1">
      <c r="A39" s="381">
        <v>32</v>
      </c>
      <c r="B39" s="393" t="s">
        <v>378</v>
      </c>
      <c r="C39" s="381" t="s">
        <v>379</v>
      </c>
      <c r="D39" s="393">
        <v>209</v>
      </c>
      <c r="E39" s="381">
        <v>101250</v>
      </c>
      <c r="F39" s="393">
        <v>100</v>
      </c>
      <c r="G39" s="381">
        <f t="shared" si="4"/>
        <v>10125000</v>
      </c>
      <c r="H39" s="394">
        <v>300</v>
      </c>
      <c r="I39" s="381">
        <f t="shared" si="5"/>
        <v>30375000</v>
      </c>
    </row>
    <row r="40" spans="1:9" ht="15" customHeight="1">
      <c r="A40" s="381">
        <v>33</v>
      </c>
      <c r="B40" s="393" t="s">
        <v>380</v>
      </c>
      <c r="C40" s="381" t="s">
        <v>381</v>
      </c>
      <c r="D40" s="393">
        <v>210</v>
      </c>
      <c r="E40" s="381">
        <v>1806966</v>
      </c>
      <c r="F40" s="393">
        <v>100</v>
      </c>
      <c r="G40" s="381">
        <f t="shared" si="4"/>
        <v>180696600</v>
      </c>
      <c r="H40" s="394">
        <v>100</v>
      </c>
      <c r="I40" s="381">
        <f t="shared" si="5"/>
        <v>180696600</v>
      </c>
    </row>
    <row r="41" spans="1:9" ht="15" customHeight="1">
      <c r="A41" s="381">
        <v>34</v>
      </c>
      <c r="B41" s="393" t="s">
        <v>382</v>
      </c>
      <c r="C41" s="381" t="s">
        <v>383</v>
      </c>
      <c r="D41" s="393">
        <v>211</v>
      </c>
      <c r="E41" s="381">
        <v>1306693</v>
      </c>
      <c r="F41" s="393">
        <v>100</v>
      </c>
      <c r="G41" s="381">
        <f t="shared" si="4"/>
        <v>130669300</v>
      </c>
      <c r="H41" s="394">
        <v>18</v>
      </c>
      <c r="I41" s="381">
        <f t="shared" si="5"/>
        <v>23520474</v>
      </c>
    </row>
    <row r="42" spans="1:9" ht="15" customHeight="1">
      <c r="A42" s="381">
        <v>35</v>
      </c>
      <c r="B42" s="393" t="s">
        <v>384</v>
      </c>
      <c r="C42" s="381" t="s">
        <v>385</v>
      </c>
      <c r="D42" s="393">
        <v>212</v>
      </c>
      <c r="E42" s="381">
        <v>3833400</v>
      </c>
      <c r="F42" s="393">
        <v>75</v>
      </c>
      <c r="G42" s="381">
        <f t="shared" si="4"/>
        <v>287505000</v>
      </c>
      <c r="H42" s="394">
        <v>38</v>
      </c>
      <c r="I42" s="381">
        <f t="shared" si="5"/>
        <v>145669200</v>
      </c>
    </row>
    <row r="43" spans="1:9" ht="15" customHeight="1">
      <c r="A43" s="381">
        <v>36</v>
      </c>
      <c r="B43" s="393" t="s">
        <v>386</v>
      </c>
      <c r="C43" s="381" t="s">
        <v>387</v>
      </c>
      <c r="D43" s="393">
        <v>213</v>
      </c>
      <c r="E43" s="381">
        <v>1270288</v>
      </c>
      <c r="F43" s="393">
        <v>100</v>
      </c>
      <c r="G43" s="381">
        <f t="shared" si="4"/>
        <v>127028800</v>
      </c>
      <c r="H43" s="394">
        <v>27</v>
      </c>
      <c r="I43" s="381">
        <f t="shared" si="5"/>
        <v>34297776</v>
      </c>
    </row>
    <row r="44" spans="1:9" ht="15" customHeight="1">
      <c r="A44" s="381">
        <v>37</v>
      </c>
      <c r="B44" s="393" t="s">
        <v>388</v>
      </c>
      <c r="C44" s="381" t="s">
        <v>389</v>
      </c>
      <c r="D44" s="393">
        <v>214</v>
      </c>
      <c r="E44" s="381">
        <v>550343</v>
      </c>
      <c r="F44" s="393">
        <v>100</v>
      </c>
      <c r="G44" s="381">
        <f t="shared" si="4"/>
        <v>55034300</v>
      </c>
      <c r="H44" s="394">
        <v>58</v>
      </c>
      <c r="I44" s="381">
        <f t="shared" si="5"/>
        <v>31919894</v>
      </c>
    </row>
    <row r="45" spans="1:9" ht="15" customHeight="1">
      <c r="A45" s="381">
        <v>38</v>
      </c>
      <c r="B45" s="393" t="s">
        <v>203</v>
      </c>
      <c r="C45" s="381" t="s">
        <v>390</v>
      </c>
      <c r="D45" s="393">
        <v>215</v>
      </c>
      <c r="E45" s="381">
        <v>1210000</v>
      </c>
      <c r="F45" s="393">
        <v>100</v>
      </c>
      <c r="G45" s="381">
        <f t="shared" si="4"/>
        <v>121000000</v>
      </c>
      <c r="H45" s="394">
        <v>1750</v>
      </c>
      <c r="I45" s="381">
        <f t="shared" si="5"/>
        <v>2117500000</v>
      </c>
    </row>
    <row r="46" spans="1:9" ht="15" customHeight="1">
      <c r="A46" s="381">
        <v>39</v>
      </c>
      <c r="B46" s="393" t="s">
        <v>391</v>
      </c>
      <c r="C46" s="381" t="s">
        <v>392</v>
      </c>
      <c r="D46" s="393">
        <v>217</v>
      </c>
      <c r="E46" s="381">
        <v>18650000</v>
      </c>
      <c r="F46" s="393">
        <v>10</v>
      </c>
      <c r="G46" s="381">
        <f t="shared" si="4"/>
        <v>186500000</v>
      </c>
      <c r="H46" s="394">
        <v>4.2</v>
      </c>
      <c r="I46" s="381">
        <f t="shared" si="5"/>
        <v>78330000</v>
      </c>
    </row>
    <row r="47" spans="1:9" ht="15" customHeight="1">
      <c r="A47" s="381">
        <v>40</v>
      </c>
      <c r="B47" s="393" t="s">
        <v>393</v>
      </c>
      <c r="C47" s="381" t="s">
        <v>394</v>
      </c>
      <c r="D47" s="393">
        <v>218</v>
      </c>
      <c r="E47" s="381">
        <v>165000</v>
      </c>
      <c r="F47" s="393">
        <v>100</v>
      </c>
      <c r="G47" s="381">
        <f t="shared" si="4"/>
        <v>16500000</v>
      </c>
      <c r="H47" s="394">
        <v>28</v>
      </c>
      <c r="I47" s="381">
        <f t="shared" si="5"/>
        <v>4620000</v>
      </c>
    </row>
    <row r="48" spans="1:9" ht="15" customHeight="1">
      <c r="A48" s="381">
        <v>41</v>
      </c>
      <c r="B48" s="393" t="s">
        <v>204</v>
      </c>
      <c r="C48" s="381" t="s">
        <v>395</v>
      </c>
      <c r="D48" s="393">
        <v>219</v>
      </c>
      <c r="E48" s="381">
        <v>920700</v>
      </c>
      <c r="F48" s="393">
        <v>100</v>
      </c>
      <c r="G48" s="381">
        <f t="shared" si="4"/>
        <v>92070000</v>
      </c>
      <c r="H48" s="394">
        <v>10286</v>
      </c>
      <c r="I48" s="381">
        <f t="shared" si="5"/>
        <v>9470320200</v>
      </c>
    </row>
    <row r="49" spans="1:9" ht="15" customHeight="1">
      <c r="A49" s="381">
        <v>42</v>
      </c>
      <c r="B49" s="393" t="s">
        <v>396</v>
      </c>
      <c r="C49" s="381" t="s">
        <v>397</v>
      </c>
      <c r="D49" s="393">
        <v>220</v>
      </c>
      <c r="E49" s="381">
        <v>90000</v>
      </c>
      <c r="F49" s="393">
        <v>100</v>
      </c>
      <c r="G49" s="381">
        <f t="shared" si="4"/>
        <v>9000000</v>
      </c>
      <c r="H49" s="394">
        <v>231</v>
      </c>
      <c r="I49" s="381">
        <f t="shared" si="5"/>
        <v>20790000</v>
      </c>
    </row>
    <row r="50" spans="1:9" ht="15" customHeight="1">
      <c r="A50" s="381">
        <v>43</v>
      </c>
      <c r="B50" s="393" t="s">
        <v>398</v>
      </c>
      <c r="C50" s="381" t="s">
        <v>399</v>
      </c>
      <c r="D50" s="393">
        <v>224</v>
      </c>
      <c r="E50" s="381">
        <v>3500000</v>
      </c>
      <c r="F50" s="393">
        <v>100</v>
      </c>
      <c r="G50" s="381">
        <f>+E50*F50</f>
        <v>350000000</v>
      </c>
      <c r="H50" s="394">
        <v>50</v>
      </c>
      <c r="I50" s="381">
        <f t="shared" si="5"/>
        <v>175000000</v>
      </c>
    </row>
    <row r="51" spans="1:9" ht="15" customHeight="1">
      <c r="A51" s="381">
        <v>44</v>
      </c>
      <c r="B51" s="393" t="s">
        <v>400</v>
      </c>
      <c r="C51" s="381" t="s">
        <v>401</v>
      </c>
      <c r="D51" s="393">
        <v>225</v>
      </c>
      <c r="E51" s="381">
        <v>262102</v>
      </c>
      <c r="F51" s="393">
        <v>75</v>
      </c>
      <c r="G51" s="381">
        <f>+E51*F51</f>
        <v>19657650</v>
      </c>
      <c r="H51" s="394">
        <v>75</v>
      </c>
      <c r="I51" s="381">
        <f t="shared" si="5"/>
        <v>19657650</v>
      </c>
    </row>
    <row r="52" spans="1:9" ht="15" customHeight="1">
      <c r="A52" s="381">
        <v>45</v>
      </c>
      <c r="B52" s="393" t="s">
        <v>402</v>
      </c>
      <c r="C52" s="381" t="s">
        <v>403</v>
      </c>
      <c r="D52" s="393">
        <v>227</v>
      </c>
      <c r="E52" s="381">
        <f>2800000+245990</f>
        <v>3045990</v>
      </c>
      <c r="F52" s="393">
        <v>100</v>
      </c>
      <c r="G52" s="381">
        <f>+E52*F52</f>
        <v>304599000</v>
      </c>
      <c r="H52" s="394">
        <v>100</v>
      </c>
      <c r="I52" s="381">
        <f t="shared" si="5"/>
        <v>304599000</v>
      </c>
    </row>
    <row r="53" spans="1:9" ht="15" customHeight="1">
      <c r="A53" s="381">
        <v>46</v>
      </c>
      <c r="B53" s="393" t="s">
        <v>404</v>
      </c>
      <c r="C53" s="381" t="s">
        <v>405</v>
      </c>
      <c r="D53" s="393">
        <v>228</v>
      </c>
      <c r="E53" s="381">
        <v>210680</v>
      </c>
      <c r="F53" s="393">
        <v>100</v>
      </c>
      <c r="G53" s="381">
        <f>+E53*F53</f>
        <v>21068000</v>
      </c>
      <c r="H53" s="394">
        <v>64</v>
      </c>
      <c r="I53" s="381">
        <f t="shared" si="5"/>
        <v>13483520</v>
      </c>
    </row>
    <row r="54" spans="1:9" ht="15" customHeight="1">
      <c r="A54" s="381">
        <v>47</v>
      </c>
      <c r="B54" s="393" t="s">
        <v>234</v>
      </c>
      <c r="C54" s="381" t="s">
        <v>406</v>
      </c>
      <c r="D54" s="393">
        <v>229</v>
      </c>
      <c r="E54" s="381">
        <v>4130000</v>
      </c>
      <c r="F54" s="393">
        <v>100</v>
      </c>
      <c r="G54" s="381">
        <f>+E54*F54</f>
        <v>413000000</v>
      </c>
      <c r="H54" s="394">
        <v>99</v>
      </c>
      <c r="I54" s="381">
        <f t="shared" si="5"/>
        <v>408870000</v>
      </c>
    </row>
    <row r="55" spans="1:9" ht="15" customHeight="1">
      <c r="A55" s="396"/>
      <c r="B55" s="397" t="s">
        <v>372</v>
      </c>
      <c r="C55" s="396"/>
      <c r="D55" s="397"/>
      <c r="E55" s="396">
        <f>SUM(E37:E54)</f>
        <v>43206235</v>
      </c>
      <c r="F55" s="397"/>
      <c r="G55" s="396">
        <f>SUM(G37:G54)</f>
        <v>2539735950</v>
      </c>
      <c r="H55" s="398"/>
      <c r="I55" s="396">
        <f>SUM(I37:I54)</f>
        <v>16383131986</v>
      </c>
    </row>
    <row r="56" spans="1:9" ht="15" customHeight="1">
      <c r="A56" s="381" t="s">
        <v>3</v>
      </c>
      <c r="B56" s="400" t="s">
        <v>407</v>
      </c>
      <c r="C56" s="381"/>
      <c r="D56" s="393"/>
      <c r="E56" s="381"/>
      <c r="F56" s="393"/>
      <c r="G56" s="381" t="s">
        <v>3</v>
      </c>
      <c r="H56" s="394"/>
      <c r="I56" s="381"/>
    </row>
    <row r="57" spans="1:9" ht="15" customHeight="1">
      <c r="A57" s="381">
        <v>48</v>
      </c>
      <c r="B57" s="393" t="s">
        <v>408</v>
      </c>
      <c r="C57" s="381" t="s">
        <v>409</v>
      </c>
      <c r="D57" s="393">
        <v>301</v>
      </c>
      <c r="E57" s="381">
        <v>2209208</v>
      </c>
      <c r="F57" s="393">
        <v>100</v>
      </c>
      <c r="G57" s="381">
        <f>+E57*F57</f>
        <v>220920800</v>
      </c>
      <c r="H57" s="394">
        <v>600</v>
      </c>
      <c r="I57" s="381">
        <f>SUM(E57*H57)</f>
        <v>1325524800</v>
      </c>
    </row>
    <row r="58" spans="1:9" ht="15" customHeight="1">
      <c r="A58" s="381">
        <v>49</v>
      </c>
      <c r="B58" s="393" t="s">
        <v>188</v>
      </c>
      <c r="C58" s="381" t="s">
        <v>410</v>
      </c>
      <c r="D58" s="393">
        <v>302</v>
      </c>
      <c r="E58" s="381">
        <v>30087191</v>
      </c>
      <c r="F58" s="393">
        <v>10</v>
      </c>
      <c r="G58" s="381">
        <f>+E58*F58</f>
        <v>300871910</v>
      </c>
      <c r="H58" s="394">
        <v>346</v>
      </c>
      <c r="I58" s="381">
        <f>SUM(E58*H58)</f>
        <v>10410168086</v>
      </c>
    </row>
    <row r="59" spans="1:9" ht="15" customHeight="1">
      <c r="A59" s="381">
        <v>50</v>
      </c>
      <c r="B59" s="393" t="s">
        <v>187</v>
      </c>
      <c r="C59" s="381" t="s">
        <v>411</v>
      </c>
      <c r="D59" s="393">
        <v>303</v>
      </c>
      <c r="E59" s="381">
        <v>7449875</v>
      </c>
      <c r="F59" s="393">
        <v>100</v>
      </c>
      <c r="G59" s="381">
        <f>+E59*F59</f>
        <v>744987500</v>
      </c>
      <c r="H59" s="394">
        <v>210</v>
      </c>
      <c r="I59" s="381">
        <f>SUM(E59*H59)</f>
        <v>1564473750</v>
      </c>
    </row>
    <row r="60" spans="1:9" ht="15" customHeight="1">
      <c r="A60" s="381">
        <v>51</v>
      </c>
      <c r="B60" s="393" t="s">
        <v>166</v>
      </c>
      <c r="C60" s="381" t="s">
        <v>412</v>
      </c>
      <c r="D60" s="393">
        <v>304</v>
      </c>
      <c r="E60" s="381">
        <v>5000000</v>
      </c>
      <c r="F60" s="393">
        <v>100</v>
      </c>
      <c r="G60" s="381">
        <f>+E60*F60</f>
        <v>500000000</v>
      </c>
      <c r="H60" s="394">
        <v>340</v>
      </c>
      <c r="I60" s="381">
        <f>SUM(E60*H60)</f>
        <v>1700000000</v>
      </c>
    </row>
    <row r="61" spans="1:9" ht="15" customHeight="1">
      <c r="A61" s="396"/>
      <c r="B61" s="397" t="s">
        <v>372</v>
      </c>
      <c r="C61" s="396"/>
      <c r="D61" s="397"/>
      <c r="E61" s="396">
        <f>SUM(E57:E60)</f>
        <v>44746274</v>
      </c>
      <c r="F61" s="397"/>
      <c r="G61" s="396">
        <f>SUM(G57:G60)</f>
        <v>1766780210</v>
      </c>
      <c r="H61" s="398"/>
      <c r="I61" s="396">
        <f>SUM(I57:I60)</f>
        <v>15000166636</v>
      </c>
    </row>
    <row r="62" spans="1:9" ht="15" customHeight="1">
      <c r="A62" s="381"/>
      <c r="B62" s="400" t="s">
        <v>413</v>
      </c>
      <c r="C62" s="381"/>
      <c r="D62" s="393"/>
      <c r="E62" s="381"/>
      <c r="F62" s="393"/>
      <c r="G62" s="381" t="s">
        <v>3</v>
      </c>
      <c r="H62" s="394"/>
      <c r="I62" s="381"/>
    </row>
    <row r="63" spans="1:9" ht="15" customHeight="1">
      <c r="A63" s="381">
        <v>52</v>
      </c>
      <c r="B63" s="393" t="s">
        <v>414</v>
      </c>
      <c r="C63" s="381" t="s">
        <v>415</v>
      </c>
      <c r="D63" s="393">
        <v>403</v>
      </c>
      <c r="E63" s="381">
        <f>446623+44662</f>
        <v>491285</v>
      </c>
      <c r="F63" s="393">
        <v>100</v>
      </c>
      <c r="G63" s="381">
        <f>+E63*F63</f>
        <v>49128500</v>
      </c>
      <c r="H63" s="394">
        <v>37.5</v>
      </c>
      <c r="I63" s="381">
        <f>SUM(E63*H63)</f>
        <v>18423187.5</v>
      </c>
    </row>
    <row r="64" spans="1:9" ht="15" customHeight="1">
      <c r="A64" s="381">
        <v>53</v>
      </c>
      <c r="B64" s="393" t="s">
        <v>125</v>
      </c>
      <c r="C64" s="381" t="s">
        <v>416</v>
      </c>
      <c r="D64" s="393">
        <v>404</v>
      </c>
      <c r="E64" s="381">
        <v>150000000</v>
      </c>
      <c r="F64" s="393">
        <v>100</v>
      </c>
      <c r="G64" s="381">
        <f>F64*E64</f>
        <v>15000000000</v>
      </c>
      <c r="H64" s="394">
        <v>670</v>
      </c>
      <c r="I64" s="401">
        <f>H64*E64</f>
        <v>100500000000</v>
      </c>
    </row>
    <row r="65" spans="1:9" ht="15" customHeight="1">
      <c r="A65" s="396"/>
      <c r="B65" s="397"/>
      <c r="C65" s="396"/>
      <c r="D65" s="397"/>
      <c r="E65" s="396">
        <f>SUM(E63:E64)</f>
        <v>150491285</v>
      </c>
      <c r="F65" s="397"/>
      <c r="G65" s="396">
        <f>SUM(G63:G64)</f>
        <v>15049128500</v>
      </c>
      <c r="H65" s="398"/>
      <c r="I65" s="402">
        <f>SUM(I63:I64)</f>
        <v>100518423187.5</v>
      </c>
    </row>
    <row r="66" spans="1:9" ht="15" customHeight="1">
      <c r="A66" s="381"/>
      <c r="B66" s="400" t="s">
        <v>75</v>
      </c>
      <c r="C66" s="381"/>
      <c r="D66" s="393"/>
      <c r="E66" s="381"/>
      <c r="F66" s="393"/>
      <c r="G66" s="381"/>
      <c r="H66" s="394"/>
      <c r="I66" s="381"/>
    </row>
    <row r="67" spans="1:9" ht="15" customHeight="1">
      <c r="A67" s="381">
        <v>54</v>
      </c>
      <c r="B67" s="393" t="s">
        <v>218</v>
      </c>
      <c r="C67" s="381" t="s">
        <v>417</v>
      </c>
      <c r="D67" s="393">
        <v>901</v>
      </c>
      <c r="E67" s="381">
        <f>6606630+393370+6851862</f>
        <v>13851862</v>
      </c>
      <c r="F67" s="393">
        <v>100</v>
      </c>
      <c r="G67" s="381">
        <f>+E67*F67</f>
        <v>1385186200</v>
      </c>
      <c r="H67" s="394">
        <v>83</v>
      </c>
      <c r="I67" s="381">
        <f>SUM(E67*H67)</f>
        <v>1149704546</v>
      </c>
    </row>
    <row r="68" spans="1:9" ht="16.149999999999999" customHeight="1">
      <c r="A68" s="381">
        <v>55</v>
      </c>
      <c r="B68" s="393" t="s">
        <v>167</v>
      </c>
      <c r="C68" s="381" t="s">
        <v>418</v>
      </c>
      <c r="D68" s="393">
        <v>902</v>
      </c>
      <c r="E68" s="381">
        <v>10152599</v>
      </c>
      <c r="F68" s="393">
        <v>100</v>
      </c>
      <c r="G68" s="381">
        <f>+E68*F68</f>
        <v>1015259900</v>
      </c>
      <c r="H68" s="394">
        <v>1320</v>
      </c>
      <c r="I68" s="381">
        <f>SUM(E68*H68)</f>
        <v>13401430680</v>
      </c>
    </row>
    <row r="69" spans="1:9" s="182" customFormat="1" ht="15" customHeight="1">
      <c r="A69" s="381">
        <v>56</v>
      </c>
      <c r="B69" s="393" t="s">
        <v>85</v>
      </c>
      <c r="C69" s="381" t="s">
        <v>419</v>
      </c>
      <c r="D69" s="393">
        <v>903</v>
      </c>
      <c r="E69" s="381">
        <v>22713600</v>
      </c>
      <c r="F69" s="393">
        <v>100</v>
      </c>
      <c r="G69" s="381">
        <f>+E69*F69</f>
        <v>2271360000</v>
      </c>
      <c r="H69" s="394">
        <v>1511</v>
      </c>
      <c r="I69" s="381">
        <f>SUM(E69*H69)</f>
        <v>34320249600</v>
      </c>
    </row>
    <row r="70" spans="1:9" s="182" customFormat="1" ht="15" customHeight="1">
      <c r="A70" s="381">
        <v>57</v>
      </c>
      <c r="B70" s="393" t="s">
        <v>420</v>
      </c>
      <c r="C70" s="381" t="s">
        <v>421</v>
      </c>
      <c r="D70" s="393">
        <v>904</v>
      </c>
      <c r="E70" s="381">
        <v>3506426</v>
      </c>
      <c r="F70" s="393">
        <v>100</v>
      </c>
      <c r="G70" s="381">
        <f>+E70*F70</f>
        <v>350642600</v>
      </c>
      <c r="H70" s="394">
        <v>580</v>
      </c>
      <c r="I70" s="381">
        <f>SUM(E70*H70)</f>
        <v>2033727080</v>
      </c>
    </row>
    <row r="71" spans="1:9" s="181" customFormat="1" ht="15" customHeight="1">
      <c r="A71" s="381">
        <v>58</v>
      </c>
      <c r="B71" s="393" t="s">
        <v>1070</v>
      </c>
      <c r="C71" s="381" t="s">
        <v>1084</v>
      </c>
      <c r="D71" s="393">
        <v>905</v>
      </c>
      <c r="E71" s="381">
        <v>10550000</v>
      </c>
      <c r="F71" s="393">
        <v>100</v>
      </c>
      <c r="G71" s="381">
        <f>+E71*F71</f>
        <v>1055000000</v>
      </c>
      <c r="H71" s="394">
        <v>0</v>
      </c>
      <c r="I71" s="381">
        <f>SUM(E71*H71)</f>
        <v>0</v>
      </c>
    </row>
    <row r="72" spans="1:9" ht="15" customHeight="1">
      <c r="A72" s="396"/>
      <c r="B72" s="397" t="s">
        <v>372</v>
      </c>
      <c r="C72" s="396"/>
      <c r="D72" s="397"/>
      <c r="E72" s="396">
        <f>SUM(E67:E71)</f>
        <v>60774487</v>
      </c>
      <c r="F72" s="397"/>
      <c r="G72" s="396">
        <f>SUM(G67:G71)</f>
        <v>6077448700</v>
      </c>
      <c r="H72" s="402"/>
      <c r="I72" s="396">
        <f>SUM(I67:I71)</f>
        <v>50905111906</v>
      </c>
    </row>
    <row r="73" spans="1:9" ht="15" customHeight="1">
      <c r="A73" s="381" t="s">
        <v>3</v>
      </c>
      <c r="B73" s="400" t="s">
        <v>422</v>
      </c>
      <c r="C73" s="381"/>
      <c r="D73" s="393"/>
      <c r="E73" s="381"/>
      <c r="F73" s="393"/>
      <c r="G73" s="381" t="s">
        <v>3</v>
      </c>
      <c r="H73" s="394"/>
      <c r="I73" s="381"/>
    </row>
    <row r="74" spans="1:9" ht="15" customHeight="1">
      <c r="A74" s="403">
        <v>59</v>
      </c>
      <c r="B74" s="393" t="s">
        <v>423</v>
      </c>
      <c r="C74" s="381" t="s">
        <v>424</v>
      </c>
      <c r="D74" s="393">
        <v>501</v>
      </c>
      <c r="E74" s="381">
        <v>586645</v>
      </c>
      <c r="F74" s="393">
        <v>100</v>
      </c>
      <c r="G74" s="381">
        <f>+E74*F74</f>
        <v>58664500</v>
      </c>
      <c r="H74" s="394">
        <v>213</v>
      </c>
      <c r="I74" s="381">
        <f>SUM(E74*H74)</f>
        <v>124955385</v>
      </c>
    </row>
    <row r="75" spans="1:9" ht="15" customHeight="1">
      <c r="A75" s="403">
        <v>60</v>
      </c>
      <c r="B75" s="393" t="s">
        <v>205</v>
      </c>
      <c r="C75" s="381" t="s">
        <v>425</v>
      </c>
      <c r="D75" s="393">
        <v>502</v>
      </c>
      <c r="E75" s="381">
        <f>273000+218400</f>
        <v>491400</v>
      </c>
      <c r="F75" s="393">
        <v>100</v>
      </c>
      <c r="G75" s="381">
        <f>+E75*F75</f>
        <v>49140000</v>
      </c>
      <c r="H75" s="394">
        <v>1750</v>
      </c>
      <c r="I75" s="381">
        <f>SUM(E75*H75)</f>
        <v>859950000</v>
      </c>
    </row>
    <row r="76" spans="1:9" ht="15" customHeight="1">
      <c r="A76" s="403">
        <v>61</v>
      </c>
      <c r="B76" s="393" t="s">
        <v>426</v>
      </c>
      <c r="C76" s="381" t="s">
        <v>427</v>
      </c>
      <c r="D76" s="393">
        <v>507</v>
      </c>
      <c r="E76" s="381">
        <v>50000</v>
      </c>
      <c r="F76" s="393">
        <v>50</v>
      </c>
      <c r="G76" s="381">
        <f>+E76*F76</f>
        <v>2500000</v>
      </c>
      <c r="H76" s="394">
        <v>56</v>
      </c>
      <c r="I76" s="381">
        <f>SUM(E76*H76)</f>
        <v>2800000</v>
      </c>
    </row>
    <row r="77" spans="1:9" ht="15" customHeight="1">
      <c r="A77" s="403">
        <v>62</v>
      </c>
      <c r="B77" s="404" t="s">
        <v>428</v>
      </c>
      <c r="C77" s="405" t="s">
        <v>429</v>
      </c>
      <c r="D77" s="406">
        <v>508</v>
      </c>
      <c r="E77" s="381">
        <v>41000</v>
      </c>
      <c r="F77" s="393">
        <v>50</v>
      </c>
      <c r="G77" s="381">
        <f>+E77*F77</f>
        <v>2050000</v>
      </c>
      <c r="H77" s="394">
        <v>95</v>
      </c>
      <c r="I77" s="381">
        <f>SUM(E77*H77)</f>
        <v>3895000</v>
      </c>
    </row>
    <row r="78" spans="1:9" ht="15" customHeight="1">
      <c r="A78" s="403"/>
      <c r="B78" s="397" t="s">
        <v>372</v>
      </c>
      <c r="C78" s="396"/>
      <c r="D78" s="397"/>
      <c r="E78" s="396">
        <f>SUM(E74:E77)</f>
        <v>1169045</v>
      </c>
      <c r="F78" s="397" t="s">
        <v>3</v>
      </c>
      <c r="G78" s="396">
        <f>SUM(G74:G77)</f>
        <v>112354500</v>
      </c>
      <c r="H78" s="398"/>
      <c r="I78" s="396">
        <f>SUM(I74:I77)</f>
        <v>991600385</v>
      </c>
    </row>
    <row r="79" spans="1:9" ht="15" customHeight="1">
      <c r="A79" s="403"/>
      <c r="B79" s="400" t="s">
        <v>33</v>
      </c>
      <c r="C79" s="381"/>
      <c r="D79" s="393"/>
      <c r="E79" s="381"/>
      <c r="F79" s="393"/>
      <c r="G79" s="381" t="s">
        <v>3</v>
      </c>
      <c r="H79" s="394"/>
      <c r="I79" s="381"/>
    </row>
    <row r="80" spans="1:9" ht="14.25" customHeight="1">
      <c r="A80" s="403">
        <v>63</v>
      </c>
      <c r="B80" s="393" t="s">
        <v>206</v>
      </c>
      <c r="C80" s="381" t="s">
        <v>430</v>
      </c>
      <c r="D80" s="393">
        <v>601</v>
      </c>
      <c r="E80" s="381">
        <v>1232381</v>
      </c>
      <c r="F80" s="393">
        <v>100</v>
      </c>
      <c r="G80" s="381">
        <f t="shared" ref="G80:G101" si="6">+E80*F80</f>
        <v>123238100</v>
      </c>
      <c r="H80" s="394">
        <v>530</v>
      </c>
      <c r="I80" s="381">
        <f t="shared" ref="I80:I101" si="7">SUM(E80*H80)</f>
        <v>653161930</v>
      </c>
    </row>
    <row r="81" spans="1:9" ht="15" customHeight="1">
      <c r="A81" s="403">
        <v>64</v>
      </c>
      <c r="B81" s="393" t="s">
        <v>431</v>
      </c>
      <c r="C81" s="381" t="s">
        <v>432</v>
      </c>
      <c r="D81" s="393">
        <v>602</v>
      </c>
      <c r="E81" s="381">
        <f>690474+138525</f>
        <v>828999</v>
      </c>
      <c r="F81" s="393">
        <v>100</v>
      </c>
      <c r="G81" s="381">
        <f t="shared" si="6"/>
        <v>82899900</v>
      </c>
      <c r="H81" s="394">
        <v>2360</v>
      </c>
      <c r="I81" s="381">
        <f t="shared" si="7"/>
        <v>1956437640</v>
      </c>
    </row>
    <row r="82" spans="1:9" ht="15" customHeight="1">
      <c r="A82" s="403">
        <v>65</v>
      </c>
      <c r="B82" s="393" t="s">
        <v>140</v>
      </c>
      <c r="C82" s="381" t="s">
        <v>433</v>
      </c>
      <c r="D82" s="393">
        <v>603</v>
      </c>
      <c r="E82" s="381">
        <v>5099671</v>
      </c>
      <c r="F82" s="393">
        <v>100</v>
      </c>
      <c r="G82" s="381">
        <f t="shared" si="6"/>
        <v>509967100</v>
      </c>
      <c r="H82" s="394">
        <v>1901</v>
      </c>
      <c r="I82" s="381">
        <f t="shared" si="7"/>
        <v>9694474571</v>
      </c>
    </row>
    <row r="83" spans="1:9" ht="15" customHeight="1">
      <c r="A83" s="403">
        <v>66</v>
      </c>
      <c r="B83" s="393" t="s">
        <v>219</v>
      </c>
      <c r="C83" s="381" t="s">
        <v>434</v>
      </c>
      <c r="D83" s="393">
        <v>604</v>
      </c>
      <c r="E83" s="381">
        <v>2500042</v>
      </c>
      <c r="F83" s="393">
        <v>100</v>
      </c>
      <c r="G83" s="381">
        <f t="shared" si="6"/>
        <v>250004200</v>
      </c>
      <c r="H83" s="394">
        <v>318</v>
      </c>
      <c r="I83" s="381">
        <f t="shared" si="7"/>
        <v>795013356</v>
      </c>
    </row>
    <row r="84" spans="1:9" ht="15" customHeight="1">
      <c r="A84" s="403">
        <v>67</v>
      </c>
      <c r="B84" s="393" t="s">
        <v>233</v>
      </c>
      <c r="C84" s="393" t="s">
        <v>435</v>
      </c>
      <c r="D84" s="393">
        <v>605</v>
      </c>
      <c r="E84" s="381">
        <v>600000</v>
      </c>
      <c r="F84" s="393">
        <v>100</v>
      </c>
      <c r="G84" s="381">
        <f t="shared" si="6"/>
        <v>60000000</v>
      </c>
      <c r="H84" s="394">
        <v>306</v>
      </c>
      <c r="I84" s="381">
        <f t="shared" si="7"/>
        <v>183600000</v>
      </c>
    </row>
    <row r="85" spans="1:9" ht="15" customHeight="1">
      <c r="A85" s="403">
        <v>68</v>
      </c>
      <c r="B85" s="393" t="s">
        <v>232</v>
      </c>
      <c r="C85" s="381" t="s">
        <v>436</v>
      </c>
      <c r="D85" s="393">
        <v>606</v>
      </c>
      <c r="E85" s="381">
        <f>600000+300000+112500</f>
        <v>1012500</v>
      </c>
      <c r="F85" s="393">
        <v>100</v>
      </c>
      <c r="G85" s="381">
        <f t="shared" si="6"/>
        <v>101250000</v>
      </c>
      <c r="H85" s="394">
        <v>211</v>
      </c>
      <c r="I85" s="381">
        <f t="shared" si="7"/>
        <v>213637500</v>
      </c>
    </row>
    <row r="86" spans="1:9" ht="15" customHeight="1">
      <c r="A86" s="403">
        <v>69</v>
      </c>
      <c r="B86" s="393" t="s">
        <v>213</v>
      </c>
      <c r="C86" s="381" t="s">
        <v>437</v>
      </c>
      <c r="D86" s="393">
        <v>607</v>
      </c>
      <c r="E86" s="381">
        <v>1173000</v>
      </c>
      <c r="F86" s="393">
        <v>100</v>
      </c>
      <c r="G86" s="381">
        <f t="shared" si="6"/>
        <v>117300000</v>
      </c>
      <c r="H86" s="394">
        <v>246</v>
      </c>
      <c r="I86" s="381">
        <f t="shared" si="7"/>
        <v>288558000</v>
      </c>
    </row>
    <row r="87" spans="1:9" ht="15" customHeight="1">
      <c r="A87" s="403">
        <v>70</v>
      </c>
      <c r="B87" s="393" t="s">
        <v>220</v>
      </c>
      <c r="C87" s="381" t="s">
        <v>438</v>
      </c>
      <c r="D87" s="393">
        <v>608</v>
      </c>
      <c r="E87" s="381">
        <v>1352216</v>
      </c>
      <c r="F87" s="393">
        <v>100</v>
      </c>
      <c r="G87" s="381">
        <f t="shared" si="6"/>
        <v>135221600</v>
      </c>
      <c r="H87" s="394">
        <v>211</v>
      </c>
      <c r="I87" s="381">
        <f t="shared" si="7"/>
        <v>285317576</v>
      </c>
    </row>
    <row r="88" spans="1:9" ht="15" customHeight="1">
      <c r="A88" s="403">
        <v>71</v>
      </c>
      <c r="B88" s="393" t="s">
        <v>439</v>
      </c>
      <c r="C88" s="381" t="s">
        <v>440</v>
      </c>
      <c r="D88" s="393">
        <v>609</v>
      </c>
      <c r="E88" s="381">
        <v>1623456</v>
      </c>
      <c r="F88" s="393">
        <v>100</v>
      </c>
      <c r="G88" s="381">
        <f t="shared" si="6"/>
        <v>162345600</v>
      </c>
      <c r="H88" s="394">
        <v>501</v>
      </c>
      <c r="I88" s="381">
        <f t="shared" si="7"/>
        <v>813351456</v>
      </c>
    </row>
    <row r="89" spans="1:9" ht="15" customHeight="1">
      <c r="A89" s="403">
        <v>72</v>
      </c>
      <c r="B89" s="393" t="s">
        <v>146</v>
      </c>
      <c r="C89" s="381" t="s">
        <v>441</v>
      </c>
      <c r="D89" s="393">
        <v>610</v>
      </c>
      <c r="E89" s="381">
        <v>2583180</v>
      </c>
      <c r="F89" s="393">
        <v>100</v>
      </c>
      <c r="G89" s="381">
        <f t="shared" si="6"/>
        <v>258318000</v>
      </c>
      <c r="H89" s="394">
        <v>1282</v>
      </c>
      <c r="I89" s="381">
        <f t="shared" si="7"/>
        <v>3311636760</v>
      </c>
    </row>
    <row r="90" spans="1:9" ht="15" customHeight="1">
      <c r="A90" s="403">
        <v>73</v>
      </c>
      <c r="B90" s="393" t="s">
        <v>442</v>
      </c>
      <c r="C90" s="381" t="s">
        <v>443</v>
      </c>
      <c r="D90" s="393">
        <v>611</v>
      </c>
      <c r="E90" s="381">
        <v>1500000</v>
      </c>
      <c r="F90" s="393">
        <v>100</v>
      </c>
      <c r="G90" s="381">
        <f t="shared" si="6"/>
        <v>150000000</v>
      </c>
      <c r="H90" s="394">
        <v>81</v>
      </c>
      <c r="I90" s="381">
        <f t="shared" si="7"/>
        <v>121500000</v>
      </c>
    </row>
    <row r="91" spans="1:9" ht="15" customHeight="1">
      <c r="A91" s="403">
        <v>74</v>
      </c>
      <c r="B91" s="393" t="s">
        <v>86</v>
      </c>
      <c r="C91" s="381" t="s">
        <v>444</v>
      </c>
      <c r="D91" s="393">
        <v>612</v>
      </c>
      <c r="E91" s="381">
        <v>6375000</v>
      </c>
      <c r="F91" s="393">
        <v>100</v>
      </c>
      <c r="G91" s="381">
        <f t="shared" si="6"/>
        <v>637500000</v>
      </c>
      <c r="H91" s="394">
        <v>3550</v>
      </c>
      <c r="I91" s="381">
        <f t="shared" si="7"/>
        <v>22631250000</v>
      </c>
    </row>
    <row r="92" spans="1:9" s="184" customFormat="1" ht="15" customHeight="1">
      <c r="A92" s="403">
        <v>75</v>
      </c>
      <c r="B92" s="393" t="s">
        <v>87</v>
      </c>
      <c r="C92" s="381" t="s">
        <v>445</v>
      </c>
      <c r="D92" s="393">
        <v>613</v>
      </c>
      <c r="E92" s="381">
        <v>5062500</v>
      </c>
      <c r="F92" s="393">
        <v>100</v>
      </c>
      <c r="G92" s="381">
        <f t="shared" si="6"/>
        <v>506250000</v>
      </c>
      <c r="H92" s="394">
        <v>2630</v>
      </c>
      <c r="I92" s="381">
        <f t="shared" si="7"/>
        <v>13314375000</v>
      </c>
    </row>
    <row r="93" spans="1:9" ht="15" customHeight="1">
      <c r="A93" s="403">
        <v>76</v>
      </c>
      <c r="B93" s="393" t="s">
        <v>193</v>
      </c>
      <c r="C93" s="381" t="s">
        <v>446</v>
      </c>
      <c r="D93" s="393">
        <v>614</v>
      </c>
      <c r="E93" s="381">
        <v>2500000</v>
      </c>
      <c r="F93" s="393">
        <v>100</v>
      </c>
      <c r="G93" s="381">
        <f t="shared" si="6"/>
        <v>250000000</v>
      </c>
      <c r="H93" s="394">
        <v>290</v>
      </c>
      <c r="I93" s="381">
        <f t="shared" si="7"/>
        <v>725000000</v>
      </c>
    </row>
    <row r="94" spans="1:9" ht="15" customHeight="1">
      <c r="A94" s="403">
        <v>77</v>
      </c>
      <c r="B94" s="393" t="s">
        <v>46</v>
      </c>
      <c r="C94" s="381" t="s">
        <v>447</v>
      </c>
      <c r="D94" s="393">
        <v>615</v>
      </c>
      <c r="E94" s="381">
        <v>1549868</v>
      </c>
      <c r="F94" s="393">
        <v>100</v>
      </c>
      <c r="G94" s="381">
        <f t="shared" si="6"/>
        <v>154986800</v>
      </c>
      <c r="H94" s="394">
        <v>352</v>
      </c>
      <c r="I94" s="381">
        <f t="shared" si="7"/>
        <v>545553536</v>
      </c>
    </row>
    <row r="95" spans="1:9" ht="15" customHeight="1">
      <c r="A95" s="403">
        <v>78</v>
      </c>
      <c r="B95" s="393" t="s">
        <v>141</v>
      </c>
      <c r="C95" s="381" t="s">
        <v>448</v>
      </c>
      <c r="D95" s="393">
        <v>616</v>
      </c>
      <c r="E95" s="381">
        <v>1750000</v>
      </c>
      <c r="F95" s="393">
        <v>100</v>
      </c>
      <c r="G95" s="381">
        <f t="shared" si="6"/>
        <v>175000000</v>
      </c>
      <c r="H95" s="394">
        <v>979</v>
      </c>
      <c r="I95" s="381">
        <f t="shared" si="7"/>
        <v>1713250000</v>
      </c>
    </row>
    <row r="96" spans="1:9" ht="14.25" customHeight="1">
      <c r="A96" s="403">
        <v>79</v>
      </c>
      <c r="B96" s="393" t="s">
        <v>449</v>
      </c>
      <c r="C96" s="381" t="s">
        <v>450</v>
      </c>
      <c r="D96" s="393">
        <v>617</v>
      </c>
      <c r="E96" s="381">
        <v>2508000</v>
      </c>
      <c r="F96" s="393">
        <v>100</v>
      </c>
      <c r="G96" s="381">
        <f t="shared" si="6"/>
        <v>250800000</v>
      </c>
      <c r="H96" s="394">
        <v>418</v>
      </c>
      <c r="I96" s="381">
        <f t="shared" si="7"/>
        <v>1048344000</v>
      </c>
    </row>
    <row r="97" spans="1:9" ht="15" customHeight="1">
      <c r="A97" s="403">
        <v>80</v>
      </c>
      <c r="B97" s="393" t="s">
        <v>451</v>
      </c>
      <c r="C97" s="381" t="s">
        <v>452</v>
      </c>
      <c r="D97" s="393">
        <v>618</v>
      </c>
      <c r="E97" s="381">
        <v>4959589</v>
      </c>
      <c r="F97" s="393">
        <v>100</v>
      </c>
      <c r="G97" s="381">
        <f t="shared" si="6"/>
        <v>495958900</v>
      </c>
      <c r="H97" s="394">
        <v>710</v>
      </c>
      <c r="I97" s="381">
        <f t="shared" si="7"/>
        <v>3521308190</v>
      </c>
    </row>
    <row r="98" spans="1:9" ht="15" customHeight="1">
      <c r="A98" s="403">
        <v>81</v>
      </c>
      <c r="B98" s="393" t="s">
        <v>453</v>
      </c>
      <c r="C98" s="381" t="s">
        <v>454</v>
      </c>
      <c r="D98" s="393">
        <v>619</v>
      </c>
      <c r="E98" s="381">
        <v>4881600</v>
      </c>
      <c r="F98" s="393">
        <v>100</v>
      </c>
      <c r="G98" s="381">
        <f t="shared" si="6"/>
        <v>488160000</v>
      </c>
      <c r="H98" s="394">
        <v>560</v>
      </c>
      <c r="I98" s="381">
        <f t="shared" si="7"/>
        <v>2733696000</v>
      </c>
    </row>
    <row r="99" spans="1:9" ht="15" customHeight="1">
      <c r="A99" s="403">
        <v>82</v>
      </c>
      <c r="B99" s="393" t="s">
        <v>455</v>
      </c>
      <c r="C99" s="381" t="s">
        <v>456</v>
      </c>
      <c r="D99" s="393">
        <v>620</v>
      </c>
      <c r="E99" s="381">
        <v>5000174</v>
      </c>
      <c r="F99" s="393">
        <v>100</v>
      </c>
      <c r="G99" s="381">
        <f t="shared" si="6"/>
        <v>500017400</v>
      </c>
      <c r="H99" s="394">
        <v>448</v>
      </c>
      <c r="I99" s="381">
        <f t="shared" si="7"/>
        <v>2240077952</v>
      </c>
    </row>
    <row r="100" spans="1:9" ht="15" customHeight="1">
      <c r="A100" s="403">
        <v>83</v>
      </c>
      <c r="B100" s="393" t="s">
        <v>165</v>
      </c>
      <c r="C100" s="381" t="s">
        <v>457</v>
      </c>
      <c r="D100" s="393">
        <v>621</v>
      </c>
      <c r="E100" s="381">
        <v>4999919</v>
      </c>
      <c r="F100" s="393">
        <v>100</v>
      </c>
      <c r="G100" s="381">
        <f t="shared" si="6"/>
        <v>499991900</v>
      </c>
      <c r="H100" s="394">
        <v>373</v>
      </c>
      <c r="I100" s="381">
        <f t="shared" si="7"/>
        <v>1864969787</v>
      </c>
    </row>
    <row r="101" spans="1:9" ht="15" customHeight="1">
      <c r="A101" s="403">
        <v>84</v>
      </c>
      <c r="B101" s="393" t="s">
        <v>245</v>
      </c>
      <c r="C101" s="381" t="s">
        <v>458</v>
      </c>
      <c r="D101" s="393">
        <v>622</v>
      </c>
      <c r="E101" s="381">
        <v>2250000</v>
      </c>
      <c r="F101" s="393">
        <v>100</v>
      </c>
      <c r="G101" s="381">
        <f t="shared" si="6"/>
        <v>225000000</v>
      </c>
      <c r="H101" s="394">
        <v>710</v>
      </c>
      <c r="I101" s="381">
        <f t="shared" si="7"/>
        <v>1597500000</v>
      </c>
    </row>
    <row r="102" spans="1:9" ht="15" customHeight="1">
      <c r="A102" s="403"/>
      <c r="B102" s="397" t="s">
        <v>372</v>
      </c>
      <c r="C102" s="396"/>
      <c r="D102" s="397"/>
      <c r="E102" s="396">
        <f>SUM(E80:E101)</f>
        <v>61342095</v>
      </c>
      <c r="F102" s="397"/>
      <c r="G102" s="396">
        <f>SUM(G80:G101)</f>
        <v>6134209500</v>
      </c>
      <c r="H102" s="398"/>
      <c r="I102" s="396">
        <f>SUM(I80:I101)</f>
        <v>70252013254</v>
      </c>
    </row>
    <row r="103" spans="1:9" ht="15" customHeight="1">
      <c r="A103" s="403"/>
      <c r="B103" s="400" t="s">
        <v>13</v>
      </c>
      <c r="C103" s="381"/>
      <c r="D103" s="393"/>
      <c r="E103" s="381"/>
      <c r="F103" s="393"/>
      <c r="G103" s="381"/>
      <c r="H103" s="394"/>
      <c r="I103" s="381"/>
    </row>
    <row r="104" spans="1:9" ht="15" customHeight="1">
      <c r="A104" s="403">
        <v>85</v>
      </c>
      <c r="B104" s="393" t="s">
        <v>459</v>
      </c>
      <c r="C104" s="381" t="s">
        <v>460</v>
      </c>
      <c r="D104" s="393">
        <v>701</v>
      </c>
      <c r="E104" s="381">
        <v>1359599</v>
      </c>
      <c r="F104" s="393">
        <v>100</v>
      </c>
      <c r="G104" s="381">
        <f t="shared" ref="G104:G142" si="8">E104*F104</f>
        <v>135959900</v>
      </c>
      <c r="H104" s="394">
        <v>90</v>
      </c>
      <c r="I104" s="381">
        <f t="shared" ref="I104:I129" si="9">SUM(E104*H104)</f>
        <v>122363910</v>
      </c>
    </row>
    <row r="105" spans="1:9">
      <c r="A105" s="403">
        <v>86</v>
      </c>
      <c r="B105" s="393" t="s">
        <v>214</v>
      </c>
      <c r="C105" s="381" t="s">
        <v>461</v>
      </c>
      <c r="D105" s="393">
        <v>702</v>
      </c>
      <c r="E105" s="381">
        <v>2332289</v>
      </c>
      <c r="F105" s="393">
        <v>100</v>
      </c>
      <c r="G105" s="381">
        <f t="shared" si="8"/>
        <v>233228900</v>
      </c>
      <c r="H105" s="394">
        <v>174</v>
      </c>
      <c r="I105" s="381">
        <f t="shared" si="9"/>
        <v>405818286</v>
      </c>
    </row>
    <row r="106" spans="1:9">
      <c r="A106" s="403">
        <v>87</v>
      </c>
      <c r="B106" s="393" t="s">
        <v>176</v>
      </c>
      <c r="C106" s="381" t="s">
        <v>462</v>
      </c>
      <c r="D106" s="393">
        <v>703</v>
      </c>
      <c r="E106" s="381">
        <v>6527636</v>
      </c>
      <c r="F106" s="393">
        <v>100</v>
      </c>
      <c r="G106" s="381">
        <f t="shared" si="8"/>
        <v>652763600</v>
      </c>
      <c r="H106" s="394">
        <v>170</v>
      </c>
      <c r="I106" s="381">
        <f t="shared" si="9"/>
        <v>1109698120</v>
      </c>
    </row>
    <row r="107" spans="1:9" ht="15" customHeight="1">
      <c r="A107" s="403">
        <v>88</v>
      </c>
      <c r="B107" s="393" t="s">
        <v>463</v>
      </c>
      <c r="C107" s="381" t="s">
        <v>464</v>
      </c>
      <c r="D107" s="393">
        <v>704</v>
      </c>
      <c r="E107" s="381">
        <v>4320000</v>
      </c>
      <c r="F107" s="393">
        <v>100</v>
      </c>
      <c r="G107" s="381">
        <f t="shared" si="8"/>
        <v>432000000</v>
      </c>
      <c r="H107" s="394">
        <v>174</v>
      </c>
      <c r="I107" s="381">
        <f t="shared" si="9"/>
        <v>751680000</v>
      </c>
    </row>
    <row r="108" spans="1:9" ht="15" customHeight="1">
      <c r="A108" s="403">
        <v>89</v>
      </c>
      <c r="B108" s="393" t="s">
        <v>465</v>
      </c>
      <c r="C108" s="381" t="s">
        <v>466</v>
      </c>
      <c r="D108" s="393">
        <v>706</v>
      </c>
      <c r="E108" s="381">
        <v>1778618</v>
      </c>
      <c r="F108" s="393">
        <v>100</v>
      </c>
      <c r="G108" s="381">
        <f t="shared" si="8"/>
        <v>177861800</v>
      </c>
      <c r="H108" s="394">
        <v>144</v>
      </c>
      <c r="I108" s="381">
        <f t="shared" si="9"/>
        <v>256120992</v>
      </c>
    </row>
    <row r="109" spans="1:9" ht="15" customHeight="1">
      <c r="A109" s="403">
        <v>90</v>
      </c>
      <c r="B109" s="393" t="s">
        <v>215</v>
      </c>
      <c r="C109" s="407" t="s">
        <v>467</v>
      </c>
      <c r="D109" s="406">
        <v>707</v>
      </c>
      <c r="E109" s="381">
        <v>2956800</v>
      </c>
      <c r="F109" s="393">
        <v>100</v>
      </c>
      <c r="G109" s="381">
        <f t="shared" si="8"/>
        <v>295680000</v>
      </c>
      <c r="H109" s="394">
        <v>160</v>
      </c>
      <c r="I109" s="381">
        <f>SUM(E109*H109)</f>
        <v>473088000</v>
      </c>
    </row>
    <row r="110" spans="1:9" ht="15" customHeight="1">
      <c r="A110" s="403">
        <v>91</v>
      </c>
      <c r="B110" s="404" t="s">
        <v>468</v>
      </c>
      <c r="C110" s="407" t="s">
        <v>469</v>
      </c>
      <c r="D110" s="408">
        <v>708</v>
      </c>
      <c r="E110" s="381">
        <v>1749028</v>
      </c>
      <c r="F110" s="393">
        <v>100</v>
      </c>
      <c r="G110" s="381">
        <f t="shared" si="8"/>
        <v>174902800</v>
      </c>
      <c r="H110" s="394">
        <v>99</v>
      </c>
      <c r="I110" s="381">
        <f t="shared" si="9"/>
        <v>173153772</v>
      </c>
    </row>
    <row r="111" spans="1:9" s="182" customFormat="1" ht="15" customHeight="1">
      <c r="A111" s="403">
        <v>92</v>
      </c>
      <c r="B111" s="409" t="s">
        <v>153</v>
      </c>
      <c r="C111" s="407" t="s">
        <v>470</v>
      </c>
      <c r="D111" s="408">
        <v>709</v>
      </c>
      <c r="E111" s="381">
        <v>3000024</v>
      </c>
      <c r="F111" s="393">
        <v>100</v>
      </c>
      <c r="G111" s="381">
        <f t="shared" si="8"/>
        <v>300002400</v>
      </c>
      <c r="H111" s="394">
        <v>2130</v>
      </c>
      <c r="I111" s="381">
        <f t="shared" si="9"/>
        <v>6390051120</v>
      </c>
    </row>
    <row r="112" spans="1:9" ht="15" customHeight="1">
      <c r="A112" s="403">
        <v>93</v>
      </c>
      <c r="B112" s="409" t="s">
        <v>471</v>
      </c>
      <c r="C112" s="407" t="s">
        <v>472</v>
      </c>
      <c r="D112" s="408">
        <v>710</v>
      </c>
      <c r="E112" s="381">
        <v>1903620</v>
      </c>
      <c r="F112" s="393">
        <v>100</v>
      </c>
      <c r="G112" s="381">
        <f t="shared" si="8"/>
        <v>190362000</v>
      </c>
      <c r="H112" s="394">
        <v>100</v>
      </c>
      <c r="I112" s="381">
        <f t="shared" si="9"/>
        <v>190362000</v>
      </c>
    </row>
    <row r="113" spans="1:9" ht="15" customHeight="1">
      <c r="A113" s="403">
        <v>94</v>
      </c>
      <c r="B113" s="404" t="s">
        <v>473</v>
      </c>
      <c r="C113" s="405" t="s">
        <v>474</v>
      </c>
      <c r="D113" s="408">
        <v>714</v>
      </c>
      <c r="E113" s="381">
        <v>2019584</v>
      </c>
      <c r="F113" s="393">
        <v>100</v>
      </c>
      <c r="G113" s="381">
        <f t="shared" si="8"/>
        <v>201958400</v>
      </c>
      <c r="H113" s="394">
        <v>141</v>
      </c>
      <c r="I113" s="381">
        <f t="shared" si="9"/>
        <v>284761344</v>
      </c>
    </row>
    <row r="114" spans="1:9" ht="15" customHeight="1">
      <c r="A114" s="403">
        <v>95</v>
      </c>
      <c r="B114" s="409" t="s">
        <v>475</v>
      </c>
      <c r="C114" s="407" t="s">
        <v>476</v>
      </c>
      <c r="D114" s="408">
        <v>716</v>
      </c>
      <c r="E114" s="381">
        <v>225000</v>
      </c>
      <c r="F114" s="393">
        <v>100</v>
      </c>
      <c r="G114" s="381">
        <f t="shared" si="8"/>
        <v>22500000</v>
      </c>
      <c r="H114" s="394">
        <v>230</v>
      </c>
      <c r="I114" s="381">
        <f t="shared" si="9"/>
        <v>51750000</v>
      </c>
    </row>
    <row r="115" spans="1:9" ht="15" customHeight="1">
      <c r="A115" s="403">
        <v>96</v>
      </c>
      <c r="B115" s="409" t="s">
        <v>477</v>
      </c>
      <c r="C115" s="407" t="s">
        <v>478</v>
      </c>
      <c r="D115" s="408">
        <v>718</v>
      </c>
      <c r="E115" s="381">
        <v>1912791</v>
      </c>
      <c r="F115" s="393">
        <v>100</v>
      </c>
      <c r="G115" s="381">
        <f t="shared" si="8"/>
        <v>191279100</v>
      </c>
      <c r="H115" s="394">
        <v>183</v>
      </c>
      <c r="I115" s="381">
        <f t="shared" si="9"/>
        <v>350040753</v>
      </c>
    </row>
    <row r="116" spans="1:9" ht="15" customHeight="1">
      <c r="A116" s="403">
        <v>97</v>
      </c>
      <c r="B116" s="409" t="s">
        <v>479</v>
      </c>
      <c r="C116" s="407" t="s">
        <v>480</v>
      </c>
      <c r="D116" s="408">
        <v>719</v>
      </c>
      <c r="E116" s="381">
        <v>1322280</v>
      </c>
      <c r="F116" s="393">
        <v>100</v>
      </c>
      <c r="G116" s="381">
        <f t="shared" si="8"/>
        <v>132228000</v>
      </c>
      <c r="H116" s="394">
        <v>430</v>
      </c>
      <c r="I116" s="381">
        <f t="shared" si="9"/>
        <v>568580400</v>
      </c>
    </row>
    <row r="117" spans="1:9" ht="15" customHeight="1">
      <c r="A117" s="403">
        <v>98</v>
      </c>
      <c r="B117" s="409" t="s">
        <v>481</v>
      </c>
      <c r="C117" s="407" t="s">
        <v>482</v>
      </c>
      <c r="D117" s="408">
        <v>720</v>
      </c>
      <c r="E117" s="381">
        <v>4200000</v>
      </c>
      <c r="F117" s="393">
        <v>100</v>
      </c>
      <c r="G117" s="381">
        <f t="shared" si="8"/>
        <v>420000000</v>
      </c>
      <c r="H117" s="394">
        <v>180</v>
      </c>
      <c r="I117" s="381">
        <f t="shared" si="9"/>
        <v>756000000</v>
      </c>
    </row>
    <row r="118" spans="1:9" ht="15" customHeight="1">
      <c r="A118" s="403">
        <v>99</v>
      </c>
      <c r="B118" s="409" t="s">
        <v>483</v>
      </c>
      <c r="C118" s="407" t="s">
        <v>484</v>
      </c>
      <c r="D118" s="408">
        <v>721</v>
      </c>
      <c r="E118" s="381">
        <v>1878697</v>
      </c>
      <c r="F118" s="393">
        <v>100</v>
      </c>
      <c r="G118" s="381">
        <f t="shared" si="8"/>
        <v>187869700</v>
      </c>
      <c r="H118" s="394">
        <v>295</v>
      </c>
      <c r="I118" s="381">
        <f t="shared" si="9"/>
        <v>554215615</v>
      </c>
    </row>
    <row r="119" spans="1:9" ht="15" customHeight="1">
      <c r="A119" s="403">
        <v>100</v>
      </c>
      <c r="B119" s="409" t="s">
        <v>223</v>
      </c>
      <c r="C119" s="407" t="s">
        <v>485</v>
      </c>
      <c r="D119" s="408">
        <v>722</v>
      </c>
      <c r="E119" s="381">
        <v>3104496</v>
      </c>
      <c r="F119" s="393">
        <v>100</v>
      </c>
      <c r="G119" s="381">
        <f t="shared" si="8"/>
        <v>310449600</v>
      </c>
      <c r="H119" s="394">
        <v>134</v>
      </c>
      <c r="I119" s="381">
        <f t="shared" si="9"/>
        <v>416002464</v>
      </c>
    </row>
    <row r="120" spans="1:9" ht="15" customHeight="1">
      <c r="A120" s="403">
        <v>101</v>
      </c>
      <c r="B120" s="409" t="s">
        <v>231</v>
      </c>
      <c r="C120" s="407" t="s">
        <v>486</v>
      </c>
      <c r="D120" s="408">
        <v>723</v>
      </c>
      <c r="E120" s="381">
        <v>1963687</v>
      </c>
      <c r="F120" s="393">
        <v>100</v>
      </c>
      <c r="G120" s="381">
        <f t="shared" si="8"/>
        <v>196368700</v>
      </c>
      <c r="H120" s="394">
        <v>206</v>
      </c>
      <c r="I120" s="381">
        <f t="shared" si="9"/>
        <v>404519522</v>
      </c>
    </row>
    <row r="121" spans="1:9" ht="15" customHeight="1">
      <c r="A121" s="403">
        <v>102</v>
      </c>
      <c r="B121" s="409" t="s">
        <v>200</v>
      </c>
      <c r="C121" s="407" t="s">
        <v>487</v>
      </c>
      <c r="D121" s="408">
        <v>724</v>
      </c>
      <c r="E121" s="381">
        <f>400000+200000+1787280+12720+703464</f>
        <v>3103464</v>
      </c>
      <c r="F121" s="393">
        <v>100</v>
      </c>
      <c r="G121" s="381">
        <f t="shared" si="8"/>
        <v>310346400</v>
      </c>
      <c r="H121" s="394">
        <v>115</v>
      </c>
      <c r="I121" s="381">
        <f t="shared" si="9"/>
        <v>356898360</v>
      </c>
    </row>
    <row r="122" spans="1:9" ht="15" customHeight="1">
      <c r="A122" s="403">
        <v>103</v>
      </c>
      <c r="B122" s="409" t="s">
        <v>216</v>
      </c>
      <c r="C122" s="407" t="s">
        <v>488</v>
      </c>
      <c r="D122" s="408">
        <v>725</v>
      </c>
      <c r="E122" s="381">
        <v>2946358</v>
      </c>
      <c r="F122" s="393">
        <v>100</v>
      </c>
      <c r="G122" s="381">
        <f t="shared" si="8"/>
        <v>294635800</v>
      </c>
      <c r="H122" s="394">
        <v>173</v>
      </c>
      <c r="I122" s="381">
        <f t="shared" si="9"/>
        <v>509719934</v>
      </c>
    </row>
    <row r="123" spans="1:9" ht="15" customHeight="1">
      <c r="A123" s="403">
        <v>104</v>
      </c>
      <c r="B123" s="409" t="s">
        <v>489</v>
      </c>
      <c r="C123" s="407" t="s">
        <v>490</v>
      </c>
      <c r="D123" s="408">
        <v>727</v>
      </c>
      <c r="E123" s="381">
        <v>1810000</v>
      </c>
      <c r="F123" s="393">
        <v>100</v>
      </c>
      <c r="G123" s="381">
        <f t="shared" si="8"/>
        <v>181000000</v>
      </c>
      <c r="H123" s="394">
        <v>108</v>
      </c>
      <c r="I123" s="381">
        <f t="shared" si="9"/>
        <v>195480000</v>
      </c>
    </row>
    <row r="124" spans="1:9" ht="15" customHeight="1">
      <c r="A124" s="403">
        <v>105</v>
      </c>
      <c r="B124" s="409" t="s">
        <v>37</v>
      </c>
      <c r="C124" s="407" t="s">
        <v>491</v>
      </c>
      <c r="D124" s="408">
        <v>730</v>
      </c>
      <c r="E124" s="381">
        <v>3506250</v>
      </c>
      <c r="F124" s="393">
        <v>100</v>
      </c>
      <c r="G124" s="381">
        <f t="shared" si="8"/>
        <v>350625000</v>
      </c>
      <c r="H124" s="394">
        <v>225</v>
      </c>
      <c r="I124" s="381">
        <f t="shared" si="9"/>
        <v>788906250</v>
      </c>
    </row>
    <row r="125" spans="1:9" ht="15" customHeight="1">
      <c r="A125" s="403">
        <v>106</v>
      </c>
      <c r="B125" s="409" t="s">
        <v>492</v>
      </c>
      <c r="C125" s="407" t="s">
        <v>493</v>
      </c>
      <c r="D125" s="408">
        <v>731</v>
      </c>
      <c r="E125" s="381">
        <f>1440000+5040000</f>
        <v>6480000</v>
      </c>
      <c r="F125" s="393">
        <v>100</v>
      </c>
      <c r="G125" s="381">
        <f t="shared" si="8"/>
        <v>648000000</v>
      </c>
      <c r="H125" s="394">
        <v>232</v>
      </c>
      <c r="I125" s="381">
        <f t="shared" si="9"/>
        <v>1503360000</v>
      </c>
    </row>
    <row r="126" spans="1:9" ht="15" customHeight="1">
      <c r="A126" s="403">
        <v>107</v>
      </c>
      <c r="B126" s="409" t="s">
        <v>207</v>
      </c>
      <c r="C126" s="407" t="s">
        <v>494</v>
      </c>
      <c r="D126" s="408">
        <v>732</v>
      </c>
      <c r="E126" s="381">
        <v>1760000</v>
      </c>
      <c r="F126" s="393">
        <v>100</v>
      </c>
      <c r="G126" s="381">
        <f t="shared" si="8"/>
        <v>176000000</v>
      </c>
      <c r="H126" s="394">
        <v>426</v>
      </c>
      <c r="I126" s="381">
        <f t="shared" si="9"/>
        <v>749760000</v>
      </c>
    </row>
    <row r="127" spans="1:9" ht="15" customHeight="1">
      <c r="A127" s="403">
        <v>108</v>
      </c>
      <c r="B127" s="409" t="s">
        <v>495</v>
      </c>
      <c r="C127" s="407" t="s">
        <v>496</v>
      </c>
      <c r="D127" s="408">
        <v>733</v>
      </c>
      <c r="E127" s="381">
        <v>1678737</v>
      </c>
      <c r="F127" s="393">
        <v>100</v>
      </c>
      <c r="G127" s="381">
        <f t="shared" si="8"/>
        <v>167873700</v>
      </c>
      <c r="H127" s="394">
        <v>198</v>
      </c>
      <c r="I127" s="381">
        <f t="shared" si="9"/>
        <v>332389926</v>
      </c>
    </row>
    <row r="128" spans="1:9" ht="15" customHeight="1">
      <c r="A128" s="403">
        <v>109</v>
      </c>
      <c r="B128" s="409" t="s">
        <v>497</v>
      </c>
      <c r="C128" s="407" t="s">
        <v>498</v>
      </c>
      <c r="D128" s="408">
        <v>735</v>
      </c>
      <c r="E128" s="381">
        <v>1266985</v>
      </c>
      <c r="F128" s="393">
        <v>100</v>
      </c>
      <c r="G128" s="381">
        <f t="shared" si="8"/>
        <v>126698500</v>
      </c>
      <c r="H128" s="394">
        <v>168</v>
      </c>
      <c r="I128" s="381">
        <f t="shared" si="9"/>
        <v>212853480</v>
      </c>
    </row>
    <row r="129" spans="1:9" ht="15" customHeight="1">
      <c r="A129" s="403">
        <v>110</v>
      </c>
      <c r="B129" s="409" t="s">
        <v>230</v>
      </c>
      <c r="C129" s="407" t="s">
        <v>499</v>
      </c>
      <c r="D129" s="408">
        <v>736</v>
      </c>
      <c r="E129" s="381">
        <v>1973132</v>
      </c>
      <c r="F129" s="393">
        <v>100</v>
      </c>
      <c r="G129" s="381">
        <f t="shared" si="8"/>
        <v>197313200</v>
      </c>
      <c r="H129" s="394">
        <v>93</v>
      </c>
      <c r="I129" s="381">
        <f t="shared" si="9"/>
        <v>183501276</v>
      </c>
    </row>
    <row r="130" spans="1:9" ht="15" customHeight="1">
      <c r="A130" s="403">
        <v>111</v>
      </c>
      <c r="B130" s="409" t="s">
        <v>500</v>
      </c>
      <c r="C130" s="407" t="s">
        <v>501</v>
      </c>
      <c r="D130" s="408">
        <v>737</v>
      </c>
      <c r="E130" s="381">
        <v>4744090</v>
      </c>
      <c r="F130" s="393">
        <v>100</v>
      </c>
      <c r="G130" s="381">
        <f t="shared" si="8"/>
        <v>474409000</v>
      </c>
      <c r="H130" s="394">
        <v>81</v>
      </c>
      <c r="I130" s="381">
        <f t="shared" ref="I130:I147" si="10">SUM(E130*H130)</f>
        <v>384271290</v>
      </c>
    </row>
    <row r="131" spans="1:9" ht="15" customHeight="1">
      <c r="A131" s="403">
        <v>112</v>
      </c>
      <c r="B131" s="409" t="s">
        <v>88</v>
      </c>
      <c r="C131" s="407" t="s">
        <v>502</v>
      </c>
      <c r="D131" s="408">
        <v>738</v>
      </c>
      <c r="E131" s="381">
        <v>1462500</v>
      </c>
      <c r="F131" s="393">
        <v>100</v>
      </c>
      <c r="G131" s="381">
        <f t="shared" si="8"/>
        <v>146250000</v>
      </c>
      <c r="H131" s="394">
        <v>235</v>
      </c>
      <c r="I131" s="381">
        <f t="shared" si="10"/>
        <v>343687500</v>
      </c>
    </row>
    <row r="132" spans="1:9" ht="15" customHeight="1">
      <c r="A132" s="403">
        <v>113</v>
      </c>
      <c r="B132" s="409" t="s">
        <v>180</v>
      </c>
      <c r="C132" s="407" t="s">
        <v>503</v>
      </c>
      <c r="D132" s="408">
        <v>740</v>
      </c>
      <c r="E132" s="381">
        <v>3257100</v>
      </c>
      <c r="F132" s="393">
        <v>100</v>
      </c>
      <c r="G132" s="381">
        <f t="shared" si="8"/>
        <v>325710000</v>
      </c>
      <c r="H132" s="394">
        <v>214</v>
      </c>
      <c r="I132" s="381">
        <f t="shared" si="10"/>
        <v>697019400</v>
      </c>
    </row>
    <row r="133" spans="1:9" ht="15" customHeight="1">
      <c r="A133" s="403">
        <v>114</v>
      </c>
      <c r="B133" s="409" t="s">
        <v>222</v>
      </c>
      <c r="C133" s="407" t="s">
        <v>504</v>
      </c>
      <c r="D133" s="408">
        <v>742</v>
      </c>
      <c r="E133" s="381">
        <v>3303300</v>
      </c>
      <c r="F133" s="393">
        <v>100</v>
      </c>
      <c r="G133" s="381">
        <f t="shared" si="8"/>
        <v>330330000</v>
      </c>
      <c r="H133" s="394">
        <v>262</v>
      </c>
      <c r="I133" s="381">
        <f t="shared" si="10"/>
        <v>865464600</v>
      </c>
    </row>
    <row r="134" spans="1:9" ht="15" customHeight="1">
      <c r="A134" s="403">
        <v>115</v>
      </c>
      <c r="B134" s="409" t="s">
        <v>505</v>
      </c>
      <c r="C134" s="407" t="s">
        <v>506</v>
      </c>
      <c r="D134" s="408">
        <v>744</v>
      </c>
      <c r="E134" s="381">
        <f>600000+120000+696000+144000+259200</f>
        <v>1819200</v>
      </c>
      <c r="F134" s="393">
        <v>100</v>
      </c>
      <c r="G134" s="381">
        <f t="shared" si="8"/>
        <v>181920000</v>
      </c>
      <c r="H134" s="394">
        <v>89</v>
      </c>
      <c r="I134" s="381">
        <f t="shared" si="10"/>
        <v>161908800</v>
      </c>
    </row>
    <row r="135" spans="1:9" ht="15" customHeight="1">
      <c r="A135" s="403">
        <v>116</v>
      </c>
      <c r="B135" s="409" t="s">
        <v>507</v>
      </c>
      <c r="C135" s="407" t="s">
        <v>508</v>
      </c>
      <c r="D135" s="408">
        <v>746</v>
      </c>
      <c r="E135" s="381">
        <v>9350695</v>
      </c>
      <c r="F135" s="393">
        <v>100</v>
      </c>
      <c r="G135" s="381">
        <f t="shared" si="8"/>
        <v>935069500</v>
      </c>
      <c r="H135" s="394">
        <v>140</v>
      </c>
      <c r="I135" s="381">
        <f t="shared" si="10"/>
        <v>1309097300</v>
      </c>
    </row>
    <row r="136" spans="1:9" s="181" customFormat="1" ht="15" customHeight="1">
      <c r="A136" s="403">
        <v>117</v>
      </c>
      <c r="B136" s="409" t="s">
        <v>229</v>
      </c>
      <c r="C136" s="407" t="s">
        <v>509</v>
      </c>
      <c r="D136" s="408">
        <v>747</v>
      </c>
      <c r="E136" s="381">
        <v>968392</v>
      </c>
      <c r="F136" s="393">
        <v>100</v>
      </c>
      <c r="G136" s="381">
        <f t="shared" si="8"/>
        <v>96839200</v>
      </c>
      <c r="H136" s="394">
        <v>116</v>
      </c>
      <c r="I136" s="381">
        <f t="shared" si="10"/>
        <v>112333472</v>
      </c>
    </row>
    <row r="137" spans="1:9" ht="15" customHeight="1">
      <c r="A137" s="403">
        <v>118</v>
      </c>
      <c r="B137" s="409" t="s">
        <v>228</v>
      </c>
      <c r="C137" s="407" t="s">
        <v>510</v>
      </c>
      <c r="D137" s="408">
        <v>748</v>
      </c>
      <c r="E137" s="381">
        <v>3223713</v>
      </c>
      <c r="F137" s="393">
        <v>100</v>
      </c>
      <c r="G137" s="381">
        <f t="shared" si="8"/>
        <v>322371300</v>
      </c>
      <c r="H137" s="394">
        <v>96</v>
      </c>
      <c r="I137" s="381">
        <f t="shared" si="10"/>
        <v>309476448</v>
      </c>
    </row>
    <row r="138" spans="1:9" ht="15" customHeight="1">
      <c r="A138" s="403">
        <v>119</v>
      </c>
      <c r="B138" s="409" t="s">
        <v>511</v>
      </c>
      <c r="C138" s="407" t="s">
        <v>512</v>
      </c>
      <c r="D138" s="408">
        <v>749</v>
      </c>
      <c r="E138" s="381">
        <f>100000+40000+140000</f>
        <v>280000</v>
      </c>
      <c r="F138" s="393">
        <v>100</v>
      </c>
      <c r="G138" s="381">
        <f t="shared" si="8"/>
        <v>28000000</v>
      </c>
      <c r="H138" s="394">
        <v>84</v>
      </c>
      <c r="I138" s="381">
        <f t="shared" si="10"/>
        <v>23520000</v>
      </c>
    </row>
    <row r="139" spans="1:9" ht="15" customHeight="1">
      <c r="A139" s="403">
        <v>120</v>
      </c>
      <c r="B139" s="409" t="s">
        <v>1059</v>
      </c>
      <c r="C139" s="407" t="s">
        <v>1060</v>
      </c>
      <c r="D139" s="408">
        <v>750</v>
      </c>
      <c r="E139" s="381">
        <v>3289994</v>
      </c>
      <c r="F139" s="393">
        <v>100</v>
      </c>
      <c r="G139" s="381">
        <f t="shared" si="8"/>
        <v>328999400</v>
      </c>
      <c r="H139" s="394">
        <v>163</v>
      </c>
      <c r="I139" s="381">
        <f t="shared" si="10"/>
        <v>536269022</v>
      </c>
    </row>
    <row r="140" spans="1:9" ht="15" customHeight="1">
      <c r="A140" s="403">
        <v>121</v>
      </c>
      <c r="B140" s="409" t="s">
        <v>227</v>
      </c>
      <c r="C140" s="407" t="s">
        <v>513</v>
      </c>
      <c r="D140" s="408">
        <v>751</v>
      </c>
      <c r="E140" s="381">
        <v>2062428</v>
      </c>
      <c r="F140" s="393">
        <v>100</v>
      </c>
      <c r="G140" s="381">
        <f t="shared" si="8"/>
        <v>206242800</v>
      </c>
      <c r="H140" s="394">
        <v>179</v>
      </c>
      <c r="I140" s="381">
        <f t="shared" si="10"/>
        <v>369174612</v>
      </c>
    </row>
    <row r="141" spans="1:9" ht="15" customHeight="1">
      <c r="A141" s="403">
        <v>122</v>
      </c>
      <c r="B141" s="409" t="s">
        <v>514</v>
      </c>
      <c r="C141" s="407" t="s">
        <v>515</v>
      </c>
      <c r="D141" s="408">
        <v>754</v>
      </c>
      <c r="E141" s="381">
        <v>1100000</v>
      </c>
      <c r="F141" s="393">
        <v>100</v>
      </c>
      <c r="G141" s="381">
        <f t="shared" si="8"/>
        <v>110000000</v>
      </c>
      <c r="H141" s="394">
        <v>124</v>
      </c>
      <c r="I141" s="381">
        <f t="shared" si="10"/>
        <v>136400000</v>
      </c>
    </row>
    <row r="142" spans="1:9" ht="15" customHeight="1">
      <c r="A142" s="403">
        <v>123</v>
      </c>
      <c r="B142" s="409" t="s">
        <v>516</v>
      </c>
      <c r="C142" s="407" t="s">
        <v>517</v>
      </c>
      <c r="D142" s="408">
        <v>755</v>
      </c>
      <c r="E142" s="381">
        <v>1497300</v>
      </c>
      <c r="F142" s="393">
        <v>100</v>
      </c>
      <c r="G142" s="381">
        <f t="shared" si="8"/>
        <v>149730000</v>
      </c>
      <c r="H142" s="394">
        <v>124</v>
      </c>
      <c r="I142" s="381">
        <f t="shared" si="10"/>
        <v>185665200</v>
      </c>
    </row>
    <row r="143" spans="1:9" ht="15" customHeight="1">
      <c r="A143" s="403">
        <v>124</v>
      </c>
      <c r="B143" s="409" t="s">
        <v>221</v>
      </c>
      <c r="C143" s="407" t="s">
        <v>518</v>
      </c>
      <c r="D143" s="408">
        <v>756</v>
      </c>
      <c r="E143" s="381">
        <v>1493909</v>
      </c>
      <c r="F143" s="393">
        <v>100</v>
      </c>
      <c r="G143" s="381">
        <f>E143*F143</f>
        <v>149390900</v>
      </c>
      <c r="H143" s="394">
        <v>95</v>
      </c>
      <c r="I143" s="381">
        <f t="shared" si="10"/>
        <v>141921355</v>
      </c>
    </row>
    <row r="144" spans="1:9" ht="16.5" customHeight="1">
      <c r="A144" s="403">
        <v>125</v>
      </c>
      <c r="B144" s="409" t="s">
        <v>89</v>
      </c>
      <c r="C144" s="407" t="s">
        <v>519</v>
      </c>
      <c r="D144" s="408">
        <v>757</v>
      </c>
      <c r="E144" s="381">
        <v>3739954</v>
      </c>
      <c r="F144" s="393">
        <v>100</v>
      </c>
      <c r="G144" s="381">
        <f>E144*F144</f>
        <v>373995400</v>
      </c>
      <c r="H144" s="394">
        <v>230</v>
      </c>
      <c r="I144" s="381">
        <f t="shared" si="10"/>
        <v>860189420</v>
      </c>
    </row>
    <row r="145" spans="1:9" ht="15" customHeight="1">
      <c r="A145" s="403">
        <v>126</v>
      </c>
      <c r="B145" s="409" t="s">
        <v>520</v>
      </c>
      <c r="C145" s="407" t="s">
        <v>521</v>
      </c>
      <c r="D145" s="408">
        <v>758</v>
      </c>
      <c r="E145" s="381">
        <v>1952561</v>
      </c>
      <c r="F145" s="393">
        <v>100</v>
      </c>
      <c r="G145" s="381">
        <f>E145*F145</f>
        <v>195256100</v>
      </c>
      <c r="H145" s="394">
        <v>210</v>
      </c>
      <c r="I145" s="381">
        <f t="shared" si="10"/>
        <v>410037810</v>
      </c>
    </row>
    <row r="146" spans="1:9" ht="15" customHeight="1">
      <c r="A146" s="403">
        <v>127</v>
      </c>
      <c r="B146" s="409" t="s">
        <v>522</v>
      </c>
      <c r="C146" s="407" t="s">
        <v>523</v>
      </c>
      <c r="D146" s="408">
        <v>759</v>
      </c>
      <c r="E146" s="381">
        <f>500000+1000000</f>
        <v>1500000</v>
      </c>
      <c r="F146" s="393">
        <v>100</v>
      </c>
      <c r="G146" s="381">
        <f>E146*F146</f>
        <v>150000000</v>
      </c>
      <c r="H146" s="394">
        <v>97</v>
      </c>
      <c r="I146" s="381">
        <f t="shared" si="10"/>
        <v>145500000</v>
      </c>
    </row>
    <row r="147" spans="1:9" ht="15" customHeight="1">
      <c r="A147" s="403">
        <v>128</v>
      </c>
      <c r="B147" s="409" t="s">
        <v>524</v>
      </c>
      <c r="C147" s="407" t="s">
        <v>525</v>
      </c>
      <c r="D147" s="408">
        <v>760</v>
      </c>
      <c r="E147" s="381">
        <v>5489640</v>
      </c>
      <c r="F147" s="393">
        <v>100</v>
      </c>
      <c r="G147" s="381">
        <f>E147*F147</f>
        <v>548964000</v>
      </c>
      <c r="H147" s="394">
        <v>0</v>
      </c>
      <c r="I147" s="381">
        <f t="shared" si="10"/>
        <v>0</v>
      </c>
    </row>
    <row r="148" spans="1:9" ht="15" customHeight="1">
      <c r="A148" s="403">
        <v>129</v>
      </c>
      <c r="B148" s="409" t="s">
        <v>526</v>
      </c>
      <c r="C148" s="407" t="s">
        <v>527</v>
      </c>
      <c r="D148" s="408">
        <v>762</v>
      </c>
      <c r="E148" s="381">
        <v>3150000</v>
      </c>
      <c r="F148" s="393">
        <v>100</v>
      </c>
      <c r="G148" s="381">
        <f t="shared" ref="G148:G166" si="11">F148*E148</f>
        <v>315000000</v>
      </c>
      <c r="H148" s="394">
        <v>138</v>
      </c>
      <c r="I148" s="381">
        <f t="shared" ref="I148:I166" si="12">H148*E148</f>
        <v>434700000</v>
      </c>
    </row>
    <row r="149" spans="1:9" ht="15" customHeight="1">
      <c r="A149" s="403">
        <v>130</v>
      </c>
      <c r="B149" s="409" t="s">
        <v>168</v>
      </c>
      <c r="C149" s="407" t="s">
        <v>528</v>
      </c>
      <c r="D149" s="408">
        <v>763</v>
      </c>
      <c r="E149" s="381">
        <v>2408490</v>
      </c>
      <c r="F149" s="393">
        <v>100</v>
      </c>
      <c r="G149" s="381">
        <f t="shared" si="11"/>
        <v>240849000</v>
      </c>
      <c r="H149" s="394">
        <v>139</v>
      </c>
      <c r="I149" s="381">
        <f t="shared" si="12"/>
        <v>334780110</v>
      </c>
    </row>
    <row r="150" spans="1:9" s="180" customFormat="1" ht="15" customHeight="1">
      <c r="A150" s="403">
        <v>131</v>
      </c>
      <c r="B150" s="409" t="s">
        <v>529</v>
      </c>
      <c r="C150" s="407" t="s">
        <v>530</v>
      </c>
      <c r="D150" s="408">
        <v>764</v>
      </c>
      <c r="E150" s="393">
        <f>300000+900000</f>
        <v>1200000</v>
      </c>
      <c r="F150" s="381">
        <v>100</v>
      </c>
      <c r="G150" s="381">
        <f t="shared" si="11"/>
        <v>120000000</v>
      </c>
      <c r="H150" s="394">
        <v>125</v>
      </c>
      <c r="I150" s="381">
        <f t="shared" si="12"/>
        <v>150000000</v>
      </c>
    </row>
    <row r="151" spans="1:9" ht="15" customHeight="1">
      <c r="A151" s="403">
        <v>132</v>
      </c>
      <c r="B151" s="409" t="s">
        <v>531</v>
      </c>
      <c r="C151" s="407" t="s">
        <v>532</v>
      </c>
      <c r="D151" s="408">
        <v>765</v>
      </c>
      <c r="E151" s="381">
        <v>2725091</v>
      </c>
      <c r="F151" s="393">
        <v>100</v>
      </c>
      <c r="G151" s="381">
        <f>F151*E151</f>
        <v>272509100</v>
      </c>
      <c r="H151" s="394">
        <v>96</v>
      </c>
      <c r="I151" s="381">
        <f t="shared" si="12"/>
        <v>261608736</v>
      </c>
    </row>
    <row r="152" spans="1:9" ht="15" customHeight="1">
      <c r="A152" s="403">
        <v>133</v>
      </c>
      <c r="B152" s="409" t="s">
        <v>533</v>
      </c>
      <c r="C152" s="407" t="s">
        <v>534</v>
      </c>
      <c r="D152" s="408">
        <v>767</v>
      </c>
      <c r="E152" s="381">
        <v>1260000</v>
      </c>
      <c r="F152" s="393">
        <v>100</v>
      </c>
      <c r="G152" s="381">
        <f t="shared" si="11"/>
        <v>126000000</v>
      </c>
      <c r="H152" s="394">
        <v>107</v>
      </c>
      <c r="I152" s="381">
        <f t="shared" si="12"/>
        <v>134820000</v>
      </c>
    </row>
    <row r="153" spans="1:9" ht="15" customHeight="1">
      <c r="A153" s="403">
        <v>134</v>
      </c>
      <c r="B153" s="409" t="s">
        <v>535</v>
      </c>
      <c r="C153" s="407" t="s">
        <v>536</v>
      </c>
      <c r="D153" s="408">
        <v>768</v>
      </c>
      <c r="E153" s="381">
        <f>700000</f>
        <v>700000</v>
      </c>
      <c r="F153" s="393">
        <v>100</v>
      </c>
      <c r="G153" s="381">
        <f t="shared" si="11"/>
        <v>70000000</v>
      </c>
      <c r="H153" s="394">
        <v>117</v>
      </c>
      <c r="I153" s="381">
        <f t="shared" si="12"/>
        <v>81900000</v>
      </c>
    </row>
    <row r="154" spans="1:9" ht="15" customHeight="1">
      <c r="A154" s="403">
        <v>135</v>
      </c>
      <c r="B154" s="409" t="s">
        <v>537</v>
      </c>
      <c r="C154" s="407" t="s">
        <v>538</v>
      </c>
      <c r="D154" s="408">
        <v>770</v>
      </c>
      <c r="E154" s="381">
        <v>2506350</v>
      </c>
      <c r="F154" s="393">
        <v>100</v>
      </c>
      <c r="G154" s="381">
        <f t="shared" si="11"/>
        <v>250635000</v>
      </c>
      <c r="H154" s="394">
        <v>112</v>
      </c>
      <c r="I154" s="381">
        <f t="shared" si="12"/>
        <v>280711200</v>
      </c>
    </row>
    <row r="155" spans="1:9" ht="15" customHeight="1">
      <c r="A155" s="403">
        <v>136</v>
      </c>
      <c r="B155" s="409" t="s">
        <v>539</v>
      </c>
      <c r="C155" s="407" t="s">
        <v>540</v>
      </c>
      <c r="D155" s="408">
        <v>772</v>
      </c>
      <c r="E155" s="381">
        <v>2000000</v>
      </c>
      <c r="F155" s="393">
        <v>100</v>
      </c>
      <c r="G155" s="381">
        <f t="shared" si="11"/>
        <v>200000000</v>
      </c>
      <c r="H155" s="394">
        <v>86</v>
      </c>
      <c r="I155" s="381">
        <f t="shared" si="12"/>
        <v>172000000</v>
      </c>
    </row>
    <row r="156" spans="1:9" ht="15" customHeight="1">
      <c r="A156" s="403">
        <v>137</v>
      </c>
      <c r="B156" s="409" t="s">
        <v>541</v>
      </c>
      <c r="C156" s="407" t="s">
        <v>542</v>
      </c>
      <c r="D156" s="408">
        <v>773</v>
      </c>
      <c r="E156" s="381">
        <v>1000000</v>
      </c>
      <c r="F156" s="393">
        <v>100</v>
      </c>
      <c r="G156" s="381">
        <f t="shared" si="11"/>
        <v>100000000</v>
      </c>
      <c r="H156" s="394">
        <v>101</v>
      </c>
      <c r="I156" s="381">
        <f t="shared" si="12"/>
        <v>101000000</v>
      </c>
    </row>
    <row r="157" spans="1:9" ht="15" customHeight="1">
      <c r="A157" s="403">
        <v>138</v>
      </c>
      <c r="B157" s="409" t="s">
        <v>543</v>
      </c>
      <c r="C157" s="407" t="s">
        <v>544</v>
      </c>
      <c r="D157" s="408">
        <v>774</v>
      </c>
      <c r="E157" s="381">
        <v>506000</v>
      </c>
      <c r="F157" s="393">
        <v>100</v>
      </c>
      <c r="G157" s="381">
        <f t="shared" si="11"/>
        <v>50600000</v>
      </c>
      <c r="H157" s="394">
        <v>106</v>
      </c>
      <c r="I157" s="381">
        <f t="shared" si="12"/>
        <v>53636000</v>
      </c>
    </row>
    <row r="158" spans="1:9" ht="15" customHeight="1">
      <c r="A158" s="403">
        <v>139</v>
      </c>
      <c r="B158" s="409" t="s">
        <v>545</v>
      </c>
      <c r="C158" s="407" t="s">
        <v>546</v>
      </c>
      <c r="D158" s="408">
        <v>775</v>
      </c>
      <c r="E158" s="381">
        <v>1500000</v>
      </c>
      <c r="F158" s="393">
        <v>100</v>
      </c>
      <c r="G158" s="381">
        <f t="shared" si="11"/>
        <v>150000000</v>
      </c>
      <c r="H158" s="394">
        <v>51</v>
      </c>
      <c r="I158" s="381">
        <f t="shared" si="12"/>
        <v>76500000</v>
      </c>
    </row>
    <row r="159" spans="1:9" ht="15" customHeight="1">
      <c r="A159" s="403">
        <v>140</v>
      </c>
      <c r="B159" s="409" t="s">
        <v>547</v>
      </c>
      <c r="C159" s="407" t="s">
        <v>548</v>
      </c>
      <c r="D159" s="408">
        <v>776</v>
      </c>
      <c r="E159" s="381">
        <v>1400000</v>
      </c>
      <c r="F159" s="393">
        <v>100</v>
      </c>
      <c r="G159" s="381">
        <f t="shared" si="11"/>
        <v>140000000</v>
      </c>
      <c r="H159" s="394">
        <v>18</v>
      </c>
      <c r="I159" s="381">
        <f t="shared" si="12"/>
        <v>25200000</v>
      </c>
    </row>
    <row r="160" spans="1:9" ht="15" customHeight="1">
      <c r="A160" s="403">
        <v>141</v>
      </c>
      <c r="B160" s="409" t="s">
        <v>549</v>
      </c>
      <c r="C160" s="407" t="s">
        <v>550</v>
      </c>
      <c r="D160" s="408">
        <v>777</v>
      </c>
      <c r="E160" s="381">
        <v>1433600</v>
      </c>
      <c r="F160" s="393">
        <v>100</v>
      </c>
      <c r="G160" s="381">
        <f t="shared" si="11"/>
        <v>143360000</v>
      </c>
      <c r="H160" s="394">
        <v>93</v>
      </c>
      <c r="I160" s="381">
        <f t="shared" si="12"/>
        <v>133324800</v>
      </c>
    </row>
    <row r="161" spans="1:9" ht="15" customHeight="1">
      <c r="A161" s="403">
        <v>142</v>
      </c>
      <c r="B161" s="409" t="s">
        <v>551</v>
      </c>
      <c r="C161" s="407" t="s">
        <v>552</v>
      </c>
      <c r="D161" s="408">
        <v>778</v>
      </c>
      <c r="E161" s="381">
        <v>2000000</v>
      </c>
      <c r="F161" s="393">
        <v>100</v>
      </c>
      <c r="G161" s="381">
        <f t="shared" si="11"/>
        <v>200000000</v>
      </c>
      <c r="H161" s="394">
        <v>120</v>
      </c>
      <c r="I161" s="381">
        <f t="shared" si="12"/>
        <v>240000000</v>
      </c>
    </row>
    <row r="162" spans="1:9" ht="15" customHeight="1">
      <c r="A162" s="403">
        <v>143</v>
      </c>
      <c r="B162" s="409" t="s">
        <v>553</v>
      </c>
      <c r="C162" s="407" t="s">
        <v>554</v>
      </c>
      <c r="D162" s="408">
        <v>786</v>
      </c>
      <c r="E162" s="381">
        <v>0</v>
      </c>
      <c r="F162" s="393">
        <v>0</v>
      </c>
      <c r="G162" s="381">
        <v>0</v>
      </c>
      <c r="H162" s="394">
        <v>0</v>
      </c>
      <c r="I162" s="381">
        <f t="shared" si="12"/>
        <v>0</v>
      </c>
    </row>
    <row r="163" spans="1:9" ht="15" customHeight="1">
      <c r="A163" s="403">
        <v>144</v>
      </c>
      <c r="B163" s="409" t="s">
        <v>186</v>
      </c>
      <c r="C163" s="407" t="s">
        <v>555</v>
      </c>
      <c r="D163" s="408">
        <v>779</v>
      </c>
      <c r="E163" s="381">
        <v>250000</v>
      </c>
      <c r="F163" s="393">
        <v>100</v>
      </c>
      <c r="G163" s="381">
        <f t="shared" si="11"/>
        <v>25000000</v>
      </c>
      <c r="H163" s="394">
        <v>65</v>
      </c>
      <c r="I163" s="381">
        <f t="shared" si="12"/>
        <v>16250000</v>
      </c>
    </row>
    <row r="164" spans="1:9" ht="15" customHeight="1">
      <c r="A164" s="403">
        <v>145</v>
      </c>
      <c r="B164" s="409" t="s">
        <v>556</v>
      </c>
      <c r="C164" s="407" t="s">
        <v>557</v>
      </c>
      <c r="D164" s="408">
        <v>780</v>
      </c>
      <c r="E164" s="381">
        <v>2000000</v>
      </c>
      <c r="F164" s="393">
        <v>100</v>
      </c>
      <c r="G164" s="381">
        <f t="shared" si="11"/>
        <v>200000000</v>
      </c>
      <c r="H164" s="394">
        <v>128</v>
      </c>
      <c r="I164" s="381">
        <f t="shared" si="12"/>
        <v>256000000</v>
      </c>
    </row>
    <row r="165" spans="1:9" ht="15" customHeight="1">
      <c r="A165" s="403">
        <v>146</v>
      </c>
      <c r="B165" s="409" t="s">
        <v>558</v>
      </c>
      <c r="C165" s="407" t="s">
        <v>559</v>
      </c>
      <c r="D165" s="408">
        <v>782</v>
      </c>
      <c r="E165" s="381">
        <v>312500</v>
      </c>
      <c r="F165" s="393">
        <v>100</v>
      </c>
      <c r="G165" s="381">
        <f t="shared" si="11"/>
        <v>31250000</v>
      </c>
      <c r="H165" s="394">
        <v>216</v>
      </c>
      <c r="I165" s="381">
        <f t="shared" si="12"/>
        <v>67500000</v>
      </c>
    </row>
    <row r="166" spans="1:9" ht="15" customHeight="1">
      <c r="A166" s="403">
        <v>147</v>
      </c>
      <c r="B166" s="409" t="s">
        <v>560</v>
      </c>
      <c r="C166" s="407" t="s">
        <v>561</v>
      </c>
      <c r="D166" s="408">
        <v>783</v>
      </c>
      <c r="E166" s="381">
        <v>2000000</v>
      </c>
      <c r="F166" s="393">
        <v>100</v>
      </c>
      <c r="G166" s="381">
        <f t="shared" si="11"/>
        <v>200000000</v>
      </c>
      <c r="H166" s="394">
        <v>113</v>
      </c>
      <c r="I166" s="381">
        <f t="shared" si="12"/>
        <v>226000000</v>
      </c>
    </row>
    <row r="167" spans="1:9" ht="15" customHeight="1">
      <c r="A167" s="403"/>
      <c r="B167" s="397" t="s">
        <v>372</v>
      </c>
      <c r="C167" s="410" t="s">
        <v>562</v>
      </c>
      <c r="D167" s="397"/>
      <c r="E167" s="396">
        <f>SUM(E104:E166)</f>
        <v>145965882</v>
      </c>
      <c r="F167" s="397" t="s">
        <v>3</v>
      </c>
      <c r="G167" s="396">
        <f>SUM(G104:G166)</f>
        <v>14596588200</v>
      </c>
      <c r="H167" s="398"/>
      <c r="I167" s="396">
        <f>SUM(I104:I166)</f>
        <v>28128942599</v>
      </c>
    </row>
    <row r="168" spans="1:9" ht="15" customHeight="1">
      <c r="A168" s="403"/>
      <c r="B168" s="400" t="s">
        <v>563</v>
      </c>
      <c r="C168" s="381"/>
      <c r="D168" s="393"/>
      <c r="E168" s="381"/>
      <c r="F168" s="393"/>
      <c r="G168" s="381" t="s">
        <v>3</v>
      </c>
      <c r="H168" s="394"/>
      <c r="I168" s="381"/>
    </row>
    <row r="169" spans="1:9" ht="15" customHeight="1">
      <c r="A169" s="403">
        <v>148</v>
      </c>
      <c r="B169" s="393" t="s">
        <v>564</v>
      </c>
      <c r="C169" s="381" t="s">
        <v>565</v>
      </c>
      <c r="D169" s="393">
        <v>801</v>
      </c>
      <c r="E169" s="381">
        <v>2978784</v>
      </c>
      <c r="F169" s="393">
        <v>100</v>
      </c>
      <c r="G169" s="381">
        <f t="shared" ref="G169:G232" si="13">E169*F169</f>
        <v>297878400</v>
      </c>
      <c r="H169" s="394">
        <v>140</v>
      </c>
      <c r="I169" s="381">
        <f t="shared" ref="I169:I198" si="14">SUM(E169*H169)</f>
        <v>417029760</v>
      </c>
    </row>
    <row r="170" spans="1:9" ht="15" customHeight="1">
      <c r="A170" s="403">
        <v>149</v>
      </c>
      <c r="B170" s="393" t="s">
        <v>566</v>
      </c>
      <c r="C170" s="381" t="s">
        <v>567</v>
      </c>
      <c r="D170" s="393">
        <v>802</v>
      </c>
      <c r="E170" s="381">
        <v>3200000</v>
      </c>
      <c r="F170" s="393">
        <v>100</v>
      </c>
      <c r="G170" s="381">
        <f t="shared" si="13"/>
        <v>320000000</v>
      </c>
      <c r="H170" s="394">
        <v>126</v>
      </c>
      <c r="I170" s="381">
        <f t="shared" si="14"/>
        <v>403200000</v>
      </c>
    </row>
    <row r="171" spans="1:9" ht="15" customHeight="1">
      <c r="A171" s="403">
        <v>150</v>
      </c>
      <c r="B171" s="393" t="s">
        <v>568</v>
      </c>
      <c r="C171" s="381" t="s">
        <v>569</v>
      </c>
      <c r="D171" s="393">
        <v>804</v>
      </c>
      <c r="E171" s="381">
        <v>2399003</v>
      </c>
      <c r="F171" s="393">
        <v>100</v>
      </c>
      <c r="G171" s="381">
        <f t="shared" si="13"/>
        <v>239900300</v>
      </c>
      <c r="H171" s="394">
        <v>739</v>
      </c>
      <c r="I171" s="381">
        <f t="shared" si="14"/>
        <v>1772863217</v>
      </c>
    </row>
    <row r="172" spans="1:9" ht="15" customHeight="1">
      <c r="A172" s="403">
        <v>151</v>
      </c>
      <c r="B172" s="393" t="s">
        <v>570</v>
      </c>
      <c r="C172" s="381" t="s">
        <v>571</v>
      </c>
      <c r="D172" s="393">
        <v>805</v>
      </c>
      <c r="E172" s="381">
        <v>2098699</v>
      </c>
      <c r="F172" s="393">
        <v>100</v>
      </c>
      <c r="G172" s="381">
        <f t="shared" si="13"/>
        <v>209869900</v>
      </c>
      <c r="H172" s="394">
        <v>816</v>
      </c>
      <c r="I172" s="381">
        <f t="shared" si="14"/>
        <v>1712538384</v>
      </c>
    </row>
    <row r="173" spans="1:9" ht="15" customHeight="1">
      <c r="A173" s="403">
        <v>152</v>
      </c>
      <c r="B173" s="393" t="s">
        <v>226</v>
      </c>
      <c r="C173" s="381" t="s">
        <v>572</v>
      </c>
      <c r="D173" s="393">
        <v>806</v>
      </c>
      <c r="E173" s="381">
        <v>3565000</v>
      </c>
      <c r="F173" s="393">
        <v>100</v>
      </c>
      <c r="G173" s="381">
        <f t="shared" si="13"/>
        <v>356500000</v>
      </c>
      <c r="H173" s="394">
        <v>172</v>
      </c>
      <c r="I173" s="381">
        <f t="shared" si="14"/>
        <v>613180000</v>
      </c>
    </row>
    <row r="174" spans="1:9" ht="15" customHeight="1">
      <c r="A174" s="403">
        <v>153</v>
      </c>
      <c r="B174" s="393" t="s">
        <v>155</v>
      </c>
      <c r="C174" s="381" t="s">
        <v>573</v>
      </c>
      <c r="D174" s="393">
        <v>807</v>
      </c>
      <c r="E174" s="381">
        <v>1273698</v>
      </c>
      <c r="F174" s="393">
        <v>100</v>
      </c>
      <c r="G174" s="381">
        <f t="shared" si="13"/>
        <v>127369800</v>
      </c>
      <c r="H174" s="394">
        <v>832</v>
      </c>
      <c r="I174" s="381">
        <f t="shared" si="14"/>
        <v>1059716736</v>
      </c>
    </row>
    <row r="175" spans="1:9" s="182" customFormat="1" ht="15" customHeight="1">
      <c r="A175" s="403">
        <v>154</v>
      </c>
      <c r="B175" s="393" t="s">
        <v>574</v>
      </c>
      <c r="C175" s="381" t="s">
        <v>575</v>
      </c>
      <c r="D175" s="393">
        <v>808</v>
      </c>
      <c r="E175" s="381">
        <v>3200000</v>
      </c>
      <c r="F175" s="393">
        <v>100</v>
      </c>
      <c r="G175" s="381">
        <f t="shared" si="13"/>
        <v>320000000</v>
      </c>
      <c r="H175" s="394">
        <v>189</v>
      </c>
      <c r="I175" s="381">
        <f t="shared" si="14"/>
        <v>604800000</v>
      </c>
    </row>
    <row r="176" spans="1:9" ht="15.6" customHeight="1">
      <c r="A176" s="403">
        <v>155</v>
      </c>
      <c r="B176" s="393" t="s">
        <v>576</v>
      </c>
      <c r="C176" s="381" t="s">
        <v>577</v>
      </c>
      <c r="D176" s="393">
        <v>809</v>
      </c>
      <c r="E176" s="381">
        <v>8420630</v>
      </c>
      <c r="F176" s="393">
        <v>100</v>
      </c>
      <c r="G176" s="381">
        <f t="shared" si="13"/>
        <v>842063000</v>
      </c>
      <c r="H176" s="394">
        <v>125</v>
      </c>
      <c r="I176" s="381">
        <f t="shared" si="14"/>
        <v>1052578750</v>
      </c>
    </row>
    <row r="177" spans="1:9" ht="15" customHeight="1">
      <c r="A177" s="403">
        <v>156</v>
      </c>
      <c r="B177" s="393" t="s">
        <v>578</v>
      </c>
      <c r="C177" s="381" t="s">
        <v>579</v>
      </c>
      <c r="D177" s="393">
        <v>810</v>
      </c>
      <c r="E177" s="381">
        <f>500000+75725+500000+5374275</f>
        <v>6450000</v>
      </c>
      <c r="F177" s="393">
        <v>100</v>
      </c>
      <c r="G177" s="381">
        <f t="shared" si="13"/>
        <v>645000000</v>
      </c>
      <c r="H177" s="394">
        <v>83</v>
      </c>
      <c r="I177" s="381">
        <f t="shared" si="14"/>
        <v>535350000</v>
      </c>
    </row>
    <row r="178" spans="1:9" ht="15" customHeight="1">
      <c r="A178" s="403">
        <v>157</v>
      </c>
      <c r="B178" s="393" t="s">
        <v>580</v>
      </c>
      <c r="C178" s="381" t="s">
        <v>581</v>
      </c>
      <c r="D178" s="393">
        <v>811</v>
      </c>
      <c r="E178" s="381">
        <v>3853105</v>
      </c>
      <c r="F178" s="393">
        <v>100</v>
      </c>
      <c r="G178" s="381">
        <f t="shared" si="13"/>
        <v>385310500</v>
      </c>
      <c r="H178" s="394">
        <v>124</v>
      </c>
      <c r="I178" s="381">
        <f t="shared" si="14"/>
        <v>477785020</v>
      </c>
    </row>
    <row r="179" spans="1:9" ht="15" customHeight="1">
      <c r="A179" s="403">
        <v>158</v>
      </c>
      <c r="B179" s="393" t="s">
        <v>582</v>
      </c>
      <c r="C179" s="381" t="s">
        <v>583</v>
      </c>
      <c r="D179" s="393">
        <v>813</v>
      </c>
      <c r="E179" s="381">
        <v>437355</v>
      </c>
      <c r="F179" s="393">
        <v>100</v>
      </c>
      <c r="G179" s="381">
        <f t="shared" si="13"/>
        <v>43735500</v>
      </c>
      <c r="H179" s="394">
        <v>435</v>
      </c>
      <c r="I179" s="381">
        <f t="shared" si="14"/>
        <v>190249425</v>
      </c>
    </row>
    <row r="180" spans="1:9" ht="15" customHeight="1">
      <c r="A180" s="403">
        <v>159</v>
      </c>
      <c r="B180" s="393" t="s">
        <v>584</v>
      </c>
      <c r="C180" s="381" t="s">
        <v>585</v>
      </c>
      <c r="D180" s="393">
        <v>814</v>
      </c>
      <c r="E180" s="381">
        <v>2079000</v>
      </c>
      <c r="F180" s="393">
        <v>100</v>
      </c>
      <c r="G180" s="381">
        <f t="shared" si="13"/>
        <v>207900000</v>
      </c>
      <c r="H180" s="394">
        <v>147</v>
      </c>
      <c r="I180" s="381">
        <f t="shared" si="14"/>
        <v>305613000</v>
      </c>
    </row>
    <row r="181" spans="1:9" ht="15" customHeight="1">
      <c r="A181" s="403">
        <v>160</v>
      </c>
      <c r="B181" s="393" t="s">
        <v>179</v>
      </c>
      <c r="C181" s="381" t="s">
        <v>586</v>
      </c>
      <c r="D181" s="393">
        <v>815</v>
      </c>
      <c r="E181" s="381">
        <v>1428840</v>
      </c>
      <c r="F181" s="393">
        <v>100</v>
      </c>
      <c r="G181" s="381">
        <f t="shared" si="13"/>
        <v>142884000</v>
      </c>
      <c r="H181" s="394">
        <v>343</v>
      </c>
      <c r="I181" s="381">
        <f t="shared" si="14"/>
        <v>490092120</v>
      </c>
    </row>
    <row r="182" spans="1:9" ht="15" customHeight="1">
      <c r="A182" s="403">
        <v>161</v>
      </c>
      <c r="B182" s="393" t="s">
        <v>587</v>
      </c>
      <c r="C182" s="381" t="s">
        <v>588</v>
      </c>
      <c r="D182" s="393">
        <v>816</v>
      </c>
      <c r="E182" s="381">
        <v>5280000</v>
      </c>
      <c r="F182" s="393">
        <v>100</v>
      </c>
      <c r="G182" s="381">
        <f t="shared" si="13"/>
        <v>528000000</v>
      </c>
      <c r="H182" s="394">
        <v>228</v>
      </c>
      <c r="I182" s="381">
        <f t="shared" si="14"/>
        <v>1203840000</v>
      </c>
    </row>
    <row r="183" spans="1:9" ht="15" customHeight="1">
      <c r="A183" s="403">
        <v>162</v>
      </c>
      <c r="B183" s="393" t="s">
        <v>199</v>
      </c>
      <c r="C183" s="381" t="s">
        <v>589</v>
      </c>
      <c r="D183" s="393">
        <v>817</v>
      </c>
      <c r="E183" s="381">
        <v>7720000</v>
      </c>
      <c r="F183" s="393">
        <v>100</v>
      </c>
      <c r="G183" s="381">
        <f t="shared" si="13"/>
        <v>772000000</v>
      </c>
      <c r="H183" s="394">
        <v>100</v>
      </c>
      <c r="I183" s="381">
        <f t="shared" si="14"/>
        <v>772000000</v>
      </c>
    </row>
    <row r="184" spans="1:9" ht="14.25" customHeight="1">
      <c r="A184" s="403">
        <v>163</v>
      </c>
      <c r="B184" s="393" t="s">
        <v>147</v>
      </c>
      <c r="C184" s="381" t="s">
        <v>590</v>
      </c>
      <c r="D184" s="393">
        <v>818</v>
      </c>
      <c r="E184" s="381">
        <v>1493345</v>
      </c>
      <c r="F184" s="393">
        <v>100</v>
      </c>
      <c r="G184" s="381">
        <f t="shared" si="13"/>
        <v>149334500</v>
      </c>
      <c r="H184" s="394">
        <v>666</v>
      </c>
      <c r="I184" s="381">
        <f t="shared" si="14"/>
        <v>994567770</v>
      </c>
    </row>
    <row r="185" spans="1:9">
      <c r="A185" s="403">
        <v>164</v>
      </c>
      <c r="B185" s="409" t="s">
        <v>591</v>
      </c>
      <c r="C185" s="407" t="s">
        <v>592</v>
      </c>
      <c r="D185" s="408">
        <v>819</v>
      </c>
      <c r="E185" s="381">
        <v>8273921</v>
      </c>
      <c r="F185" s="393">
        <v>100</v>
      </c>
      <c r="G185" s="381">
        <f t="shared" si="13"/>
        <v>827392100</v>
      </c>
      <c r="H185" s="394">
        <v>196</v>
      </c>
      <c r="I185" s="381">
        <f t="shared" si="14"/>
        <v>1621688516</v>
      </c>
    </row>
    <row r="186" spans="1:9">
      <c r="A186" s="403">
        <v>165</v>
      </c>
      <c r="B186" s="409" t="s">
        <v>593</v>
      </c>
      <c r="C186" s="407" t="s">
        <v>594</v>
      </c>
      <c r="D186" s="408">
        <v>820</v>
      </c>
      <c r="E186" s="381">
        <f>4779301+4200000</f>
        <v>8979301</v>
      </c>
      <c r="F186" s="393">
        <v>100</v>
      </c>
      <c r="G186" s="381">
        <f t="shared" si="13"/>
        <v>897930100</v>
      </c>
      <c r="H186" s="394">
        <v>70</v>
      </c>
      <c r="I186" s="381">
        <f t="shared" si="14"/>
        <v>628551070</v>
      </c>
    </row>
    <row r="187" spans="1:9" ht="15" customHeight="1">
      <c r="A187" s="403">
        <v>166</v>
      </c>
      <c r="B187" s="409" t="s">
        <v>595</v>
      </c>
      <c r="C187" s="407" t="s">
        <v>596</v>
      </c>
      <c r="D187" s="408">
        <v>821</v>
      </c>
      <c r="E187" s="381">
        <v>1500000</v>
      </c>
      <c r="F187" s="393">
        <v>100</v>
      </c>
      <c r="G187" s="381">
        <f t="shared" si="13"/>
        <v>150000000</v>
      </c>
      <c r="H187" s="394">
        <v>453</v>
      </c>
      <c r="I187" s="381">
        <f t="shared" si="14"/>
        <v>679500000</v>
      </c>
    </row>
    <row r="188" spans="1:9" ht="15" customHeight="1">
      <c r="A188" s="403">
        <v>167</v>
      </c>
      <c r="B188" s="409" t="s">
        <v>597</v>
      </c>
      <c r="C188" s="407" t="s">
        <v>598</v>
      </c>
      <c r="D188" s="408">
        <v>822</v>
      </c>
      <c r="E188" s="381">
        <v>2425500</v>
      </c>
      <c r="F188" s="393">
        <v>100</v>
      </c>
      <c r="G188" s="381">
        <f t="shared" si="13"/>
        <v>242550000</v>
      </c>
      <c r="H188" s="394">
        <v>143</v>
      </c>
      <c r="I188" s="381">
        <f t="shared" si="14"/>
        <v>346846500</v>
      </c>
    </row>
    <row r="189" spans="1:9" s="184" customFormat="1" ht="15" customHeight="1">
      <c r="A189" s="403">
        <v>168</v>
      </c>
      <c r="B189" s="409" t="s">
        <v>599</v>
      </c>
      <c r="C189" s="407" t="s">
        <v>600</v>
      </c>
      <c r="D189" s="408">
        <v>823</v>
      </c>
      <c r="E189" s="381">
        <v>1733021</v>
      </c>
      <c r="F189" s="393">
        <v>100</v>
      </c>
      <c r="G189" s="381">
        <f t="shared" si="13"/>
        <v>173302100</v>
      </c>
      <c r="H189" s="394">
        <v>125</v>
      </c>
      <c r="I189" s="381">
        <f t="shared" si="14"/>
        <v>216627625</v>
      </c>
    </row>
    <row r="190" spans="1:9" ht="15" customHeight="1">
      <c r="A190" s="403">
        <v>169</v>
      </c>
      <c r="B190" s="409" t="s">
        <v>601</v>
      </c>
      <c r="C190" s="407" t="s">
        <v>602</v>
      </c>
      <c r="D190" s="408">
        <v>824</v>
      </c>
      <c r="E190" s="381">
        <v>8640000</v>
      </c>
      <c r="F190" s="393">
        <v>100</v>
      </c>
      <c r="G190" s="381">
        <f t="shared" si="13"/>
        <v>864000000</v>
      </c>
      <c r="H190" s="394">
        <v>90</v>
      </c>
      <c r="I190" s="381">
        <f t="shared" si="14"/>
        <v>777600000</v>
      </c>
    </row>
    <row r="191" spans="1:9" ht="15" customHeight="1">
      <c r="A191" s="403">
        <v>170</v>
      </c>
      <c r="B191" s="409" t="s">
        <v>603</v>
      </c>
      <c r="C191" s="407" t="s">
        <v>604</v>
      </c>
      <c r="D191" s="408">
        <v>825</v>
      </c>
      <c r="E191" s="381">
        <v>5824512</v>
      </c>
      <c r="F191" s="393">
        <v>100</v>
      </c>
      <c r="G191" s="381">
        <f t="shared" si="13"/>
        <v>582451200</v>
      </c>
      <c r="H191" s="394">
        <v>113</v>
      </c>
      <c r="I191" s="381">
        <f t="shared" si="14"/>
        <v>658169856</v>
      </c>
    </row>
    <row r="192" spans="1:9" ht="15" customHeight="1">
      <c r="A192" s="403">
        <v>171</v>
      </c>
      <c r="B192" s="409" t="s">
        <v>605</v>
      </c>
      <c r="C192" s="407" t="s">
        <v>606</v>
      </c>
      <c r="D192" s="408">
        <v>826</v>
      </c>
      <c r="E192" s="381">
        <v>1309413</v>
      </c>
      <c r="F192" s="393">
        <v>100</v>
      </c>
      <c r="G192" s="381">
        <f t="shared" si="13"/>
        <v>130941300</v>
      </c>
      <c r="H192" s="394">
        <v>148</v>
      </c>
      <c r="I192" s="381">
        <f t="shared" si="14"/>
        <v>193793124</v>
      </c>
    </row>
    <row r="193" spans="1:9" ht="15" customHeight="1">
      <c r="A193" s="403">
        <v>172</v>
      </c>
      <c r="B193" s="409" t="s">
        <v>607</v>
      </c>
      <c r="C193" s="407" t="s">
        <v>608</v>
      </c>
      <c r="D193" s="408">
        <v>827</v>
      </c>
      <c r="E193" s="381">
        <v>3700613</v>
      </c>
      <c r="F193" s="393">
        <v>100</v>
      </c>
      <c r="G193" s="381">
        <f t="shared" si="13"/>
        <v>370061300</v>
      </c>
      <c r="H193" s="394">
        <v>285</v>
      </c>
      <c r="I193" s="381">
        <f t="shared" si="14"/>
        <v>1054674705</v>
      </c>
    </row>
    <row r="194" spans="1:9" ht="15" customHeight="1">
      <c r="A194" s="403">
        <v>173</v>
      </c>
      <c r="B194" s="409" t="s">
        <v>609</v>
      </c>
      <c r="C194" s="407" t="s">
        <v>610</v>
      </c>
      <c r="D194" s="408">
        <v>828</v>
      </c>
      <c r="E194" s="381">
        <v>11424000</v>
      </c>
      <c r="F194" s="393">
        <v>100</v>
      </c>
      <c r="G194" s="381">
        <f t="shared" si="13"/>
        <v>1142400000</v>
      </c>
      <c r="H194" s="394">
        <v>289</v>
      </c>
      <c r="I194" s="381">
        <f t="shared" si="14"/>
        <v>3301536000</v>
      </c>
    </row>
    <row r="195" spans="1:9" ht="15" customHeight="1">
      <c r="A195" s="403">
        <v>174</v>
      </c>
      <c r="B195" s="409" t="s">
        <v>611</v>
      </c>
      <c r="C195" s="407" t="s">
        <v>612</v>
      </c>
      <c r="D195" s="408">
        <v>829</v>
      </c>
      <c r="E195" s="381">
        <v>600000</v>
      </c>
      <c r="F195" s="393">
        <v>100</v>
      </c>
      <c r="G195" s="381">
        <f t="shared" si="13"/>
        <v>60000000</v>
      </c>
      <c r="H195" s="394">
        <v>965</v>
      </c>
      <c r="I195" s="381">
        <f t="shared" si="14"/>
        <v>579000000</v>
      </c>
    </row>
    <row r="196" spans="1:9" ht="15" customHeight="1">
      <c r="A196" s="403">
        <v>175</v>
      </c>
      <c r="B196" s="409" t="s">
        <v>613</v>
      </c>
      <c r="C196" s="407" t="s">
        <v>614</v>
      </c>
      <c r="D196" s="408">
        <v>830</v>
      </c>
      <c r="E196" s="381">
        <f>2000000+5000000</f>
        <v>7000000</v>
      </c>
      <c r="F196" s="393">
        <v>100</v>
      </c>
      <c r="G196" s="381">
        <f>E196*F196</f>
        <v>700000000</v>
      </c>
      <c r="H196" s="394">
        <v>91</v>
      </c>
      <c r="I196" s="381">
        <f>SUM(E196*H196)</f>
        <v>637000000</v>
      </c>
    </row>
    <row r="197" spans="1:9" ht="15" customHeight="1">
      <c r="A197" s="403">
        <v>176</v>
      </c>
      <c r="B197" s="409" t="s">
        <v>615</v>
      </c>
      <c r="C197" s="407" t="s">
        <v>616</v>
      </c>
      <c r="D197" s="408">
        <v>831</v>
      </c>
      <c r="E197" s="381">
        <v>6800000</v>
      </c>
      <c r="F197" s="393">
        <v>100</v>
      </c>
      <c r="G197" s="381">
        <f t="shared" si="13"/>
        <v>680000000</v>
      </c>
      <c r="H197" s="394">
        <v>107</v>
      </c>
      <c r="I197" s="381">
        <f t="shared" si="14"/>
        <v>727600000</v>
      </c>
    </row>
    <row r="198" spans="1:9" ht="15" customHeight="1">
      <c r="A198" s="403">
        <v>177</v>
      </c>
      <c r="B198" s="409" t="s">
        <v>617</v>
      </c>
      <c r="C198" s="407" t="s">
        <v>618</v>
      </c>
      <c r="D198" s="408">
        <v>832</v>
      </c>
      <c r="E198" s="381">
        <v>1000000</v>
      </c>
      <c r="F198" s="393">
        <v>100</v>
      </c>
      <c r="G198" s="381">
        <f t="shared" si="13"/>
        <v>100000000</v>
      </c>
      <c r="H198" s="394">
        <v>131</v>
      </c>
      <c r="I198" s="381">
        <f t="shared" si="14"/>
        <v>131000000</v>
      </c>
    </row>
    <row r="199" spans="1:9" ht="15" customHeight="1">
      <c r="A199" s="403">
        <v>178</v>
      </c>
      <c r="B199" s="409" t="s">
        <v>619</v>
      </c>
      <c r="C199" s="407" t="s">
        <v>620</v>
      </c>
      <c r="D199" s="408">
        <v>833</v>
      </c>
      <c r="E199" s="381">
        <v>1500000</v>
      </c>
      <c r="F199" s="393">
        <v>100</v>
      </c>
      <c r="G199" s="381">
        <f t="shared" si="13"/>
        <v>150000000</v>
      </c>
      <c r="H199" s="394">
        <v>74</v>
      </c>
      <c r="I199" s="381">
        <f t="shared" ref="I199:I257" si="15">SUM(E199*H199)</f>
        <v>111000000</v>
      </c>
    </row>
    <row r="200" spans="1:9" ht="15" customHeight="1">
      <c r="A200" s="403">
        <v>179</v>
      </c>
      <c r="B200" s="409" t="s">
        <v>144</v>
      </c>
      <c r="C200" s="407" t="s">
        <v>621</v>
      </c>
      <c r="D200" s="408">
        <v>834</v>
      </c>
      <c r="E200" s="381">
        <v>472000</v>
      </c>
      <c r="F200" s="393">
        <v>100</v>
      </c>
      <c r="G200" s="381">
        <f t="shared" si="13"/>
        <v>47200000</v>
      </c>
      <c r="H200" s="394">
        <v>160</v>
      </c>
      <c r="I200" s="381">
        <f t="shared" si="15"/>
        <v>75520000</v>
      </c>
    </row>
    <row r="201" spans="1:9" ht="15" customHeight="1">
      <c r="A201" s="403">
        <v>180</v>
      </c>
      <c r="B201" s="409" t="s">
        <v>622</v>
      </c>
      <c r="C201" s="407" t="s">
        <v>623</v>
      </c>
      <c r="D201" s="408">
        <v>835</v>
      </c>
      <c r="E201" s="381">
        <v>1300147</v>
      </c>
      <c r="F201" s="393">
        <v>100</v>
      </c>
      <c r="G201" s="381">
        <f t="shared" si="13"/>
        <v>130014700</v>
      </c>
      <c r="H201" s="394">
        <v>301</v>
      </c>
      <c r="I201" s="381">
        <f t="shared" si="15"/>
        <v>391344247</v>
      </c>
    </row>
    <row r="202" spans="1:9" ht="15" customHeight="1">
      <c r="A202" s="403">
        <v>181</v>
      </c>
      <c r="B202" s="409" t="s">
        <v>624</v>
      </c>
      <c r="C202" s="407" t="s">
        <v>625</v>
      </c>
      <c r="D202" s="408">
        <v>836</v>
      </c>
      <c r="E202" s="381">
        <v>1000000</v>
      </c>
      <c r="F202" s="393">
        <v>100</v>
      </c>
      <c r="G202" s="381">
        <f t="shared" si="13"/>
        <v>100000000</v>
      </c>
      <c r="H202" s="394">
        <v>93</v>
      </c>
      <c r="I202" s="381">
        <f t="shared" si="15"/>
        <v>93000000</v>
      </c>
    </row>
    <row r="203" spans="1:9" ht="15" customHeight="1">
      <c r="A203" s="403">
        <v>182</v>
      </c>
      <c r="B203" s="409" t="s">
        <v>192</v>
      </c>
      <c r="C203" s="407" t="s">
        <v>626</v>
      </c>
      <c r="D203" s="408">
        <v>838</v>
      </c>
      <c r="E203" s="381">
        <v>6799723</v>
      </c>
      <c r="F203" s="393">
        <v>100</v>
      </c>
      <c r="G203" s="381">
        <f t="shared" si="13"/>
        <v>679972300</v>
      </c>
      <c r="H203" s="394">
        <v>95</v>
      </c>
      <c r="I203" s="381">
        <f t="shared" si="15"/>
        <v>645973685</v>
      </c>
    </row>
    <row r="204" spans="1:9" ht="15" customHeight="1">
      <c r="A204" s="403">
        <v>183</v>
      </c>
      <c r="B204" s="409" t="s">
        <v>627</v>
      </c>
      <c r="C204" s="411" t="s">
        <v>628</v>
      </c>
      <c r="D204" s="408">
        <v>839</v>
      </c>
      <c r="E204" s="381">
        <v>2576000</v>
      </c>
      <c r="F204" s="393">
        <v>100</v>
      </c>
      <c r="G204" s="381">
        <f t="shared" si="13"/>
        <v>257600000</v>
      </c>
      <c r="H204" s="394">
        <v>168</v>
      </c>
      <c r="I204" s="381">
        <f t="shared" si="15"/>
        <v>432768000</v>
      </c>
    </row>
    <row r="205" spans="1:9" s="184" customFormat="1" ht="15" customHeight="1">
      <c r="A205" s="403">
        <v>184</v>
      </c>
      <c r="B205" s="409" t="s">
        <v>629</v>
      </c>
      <c r="C205" s="407" t="s">
        <v>630</v>
      </c>
      <c r="D205" s="408">
        <v>840</v>
      </c>
      <c r="E205" s="381">
        <v>996748</v>
      </c>
      <c r="F205" s="393">
        <v>100</v>
      </c>
      <c r="G205" s="381">
        <f t="shared" si="13"/>
        <v>99674800</v>
      </c>
      <c r="H205" s="394">
        <v>169</v>
      </c>
      <c r="I205" s="381">
        <f t="shared" si="15"/>
        <v>168450412</v>
      </c>
    </row>
    <row r="206" spans="1:9" ht="15.75" customHeight="1">
      <c r="A206" s="403">
        <v>185</v>
      </c>
      <c r="B206" s="409" t="s">
        <v>631</v>
      </c>
      <c r="C206" s="407" t="s">
        <v>632</v>
      </c>
      <c r="D206" s="408">
        <v>841</v>
      </c>
      <c r="E206" s="381">
        <v>1000003</v>
      </c>
      <c r="F206" s="393">
        <v>100</v>
      </c>
      <c r="G206" s="381">
        <f t="shared" si="13"/>
        <v>100000300</v>
      </c>
      <c r="H206" s="394">
        <v>980</v>
      </c>
      <c r="I206" s="381">
        <f t="shared" si="15"/>
        <v>980002940</v>
      </c>
    </row>
    <row r="207" spans="1:9" ht="16.5" customHeight="1">
      <c r="A207" s="403">
        <v>186</v>
      </c>
      <c r="B207" s="409" t="s">
        <v>633</v>
      </c>
      <c r="C207" s="407" t="s">
        <v>634</v>
      </c>
      <c r="D207" s="408">
        <v>843</v>
      </c>
      <c r="E207" s="381">
        <v>3080058</v>
      </c>
      <c r="F207" s="393">
        <v>100</v>
      </c>
      <c r="G207" s="381">
        <f t="shared" si="13"/>
        <v>308005800</v>
      </c>
      <c r="H207" s="394">
        <v>294</v>
      </c>
      <c r="I207" s="381">
        <f t="shared" si="15"/>
        <v>905537052</v>
      </c>
    </row>
    <row r="208" spans="1:9" ht="15" customHeight="1">
      <c r="A208" s="403">
        <v>187</v>
      </c>
      <c r="B208" s="409" t="s">
        <v>635</v>
      </c>
      <c r="C208" s="407" t="s">
        <v>636</v>
      </c>
      <c r="D208" s="408">
        <v>844</v>
      </c>
      <c r="E208" s="381">
        <v>10000000</v>
      </c>
      <c r="F208" s="393">
        <v>100</v>
      </c>
      <c r="G208" s="381">
        <f t="shared" si="13"/>
        <v>1000000000</v>
      </c>
      <c r="H208" s="394">
        <v>78</v>
      </c>
      <c r="I208" s="381">
        <f t="shared" si="15"/>
        <v>780000000</v>
      </c>
    </row>
    <row r="209" spans="1:9" ht="15.75" customHeight="1">
      <c r="A209" s="403">
        <v>188</v>
      </c>
      <c r="B209" s="409" t="s">
        <v>156</v>
      </c>
      <c r="C209" s="412" t="s">
        <v>637</v>
      </c>
      <c r="D209" s="408">
        <v>846</v>
      </c>
      <c r="E209" s="381">
        <v>1000000</v>
      </c>
      <c r="F209" s="393">
        <v>100</v>
      </c>
      <c r="G209" s="381">
        <f t="shared" si="13"/>
        <v>100000000</v>
      </c>
      <c r="H209" s="394">
        <v>126</v>
      </c>
      <c r="I209" s="381">
        <f t="shared" si="15"/>
        <v>126000000</v>
      </c>
    </row>
    <row r="210" spans="1:9" ht="15" customHeight="1">
      <c r="A210" s="403">
        <v>189</v>
      </c>
      <c r="B210" s="409" t="s">
        <v>158</v>
      </c>
      <c r="C210" s="413" t="s">
        <v>638</v>
      </c>
      <c r="D210" s="408">
        <v>847</v>
      </c>
      <c r="E210" s="381">
        <v>2100000</v>
      </c>
      <c r="F210" s="393">
        <v>100</v>
      </c>
      <c r="G210" s="381">
        <f t="shared" si="13"/>
        <v>210000000</v>
      </c>
      <c r="H210" s="394">
        <v>107</v>
      </c>
      <c r="I210" s="381">
        <f t="shared" si="15"/>
        <v>224700000</v>
      </c>
    </row>
    <row r="211" spans="1:9" ht="15.6" customHeight="1">
      <c r="A211" s="403">
        <v>190</v>
      </c>
      <c r="B211" s="409" t="s">
        <v>639</v>
      </c>
      <c r="C211" s="413" t="s">
        <v>640</v>
      </c>
      <c r="D211" s="408">
        <v>848</v>
      </c>
      <c r="E211" s="381">
        <v>1000000</v>
      </c>
      <c r="F211" s="393">
        <v>100</v>
      </c>
      <c r="G211" s="381">
        <f t="shared" si="13"/>
        <v>100000000</v>
      </c>
      <c r="H211" s="394">
        <v>108</v>
      </c>
      <c r="I211" s="381">
        <f t="shared" si="15"/>
        <v>108000000</v>
      </c>
    </row>
    <row r="212" spans="1:9" ht="14.25" customHeight="1">
      <c r="A212" s="403">
        <v>191</v>
      </c>
      <c r="B212" s="409" t="s">
        <v>641</v>
      </c>
      <c r="C212" s="413" t="s">
        <v>642</v>
      </c>
      <c r="D212" s="408">
        <v>849</v>
      </c>
      <c r="E212" s="381">
        <v>3740000</v>
      </c>
      <c r="F212" s="393">
        <v>100</v>
      </c>
      <c r="G212" s="381">
        <f t="shared" si="13"/>
        <v>374000000</v>
      </c>
      <c r="H212" s="394">
        <v>290</v>
      </c>
      <c r="I212" s="381">
        <f t="shared" si="15"/>
        <v>1084600000</v>
      </c>
    </row>
    <row r="213" spans="1:9" ht="14.45" customHeight="1">
      <c r="A213" s="403">
        <v>192</v>
      </c>
      <c r="B213" s="409" t="s">
        <v>643</v>
      </c>
      <c r="C213" s="413" t="s">
        <v>644</v>
      </c>
      <c r="D213" s="408">
        <v>850</v>
      </c>
      <c r="E213" s="381">
        <v>7400000</v>
      </c>
      <c r="F213" s="393">
        <v>100</v>
      </c>
      <c r="G213" s="381">
        <f t="shared" si="13"/>
        <v>740000000</v>
      </c>
      <c r="H213" s="394">
        <v>140</v>
      </c>
      <c r="I213" s="381">
        <f t="shared" si="15"/>
        <v>1036000000</v>
      </c>
    </row>
    <row r="214" spans="1:9" ht="15" customHeight="1">
      <c r="A214" s="403">
        <v>193</v>
      </c>
      <c r="B214" s="409" t="s">
        <v>191</v>
      </c>
      <c r="C214" s="413" t="s">
        <v>645</v>
      </c>
      <c r="D214" s="408">
        <v>851</v>
      </c>
      <c r="E214" s="381">
        <v>1112579</v>
      </c>
      <c r="F214" s="393">
        <v>100</v>
      </c>
      <c r="G214" s="381">
        <f t="shared" si="13"/>
        <v>111257900</v>
      </c>
      <c r="H214" s="394">
        <v>95</v>
      </c>
      <c r="I214" s="381">
        <f t="shared" si="15"/>
        <v>105695005</v>
      </c>
    </row>
    <row r="215" spans="1:9" ht="15" customHeight="1">
      <c r="A215" s="403">
        <v>194</v>
      </c>
      <c r="B215" s="409" t="s">
        <v>646</v>
      </c>
      <c r="C215" s="413" t="s">
        <v>647</v>
      </c>
      <c r="D215" s="408">
        <v>852</v>
      </c>
      <c r="E215" s="381">
        <v>3717000</v>
      </c>
      <c r="F215" s="393">
        <v>100</v>
      </c>
      <c r="G215" s="381">
        <f t="shared" si="13"/>
        <v>371700000</v>
      </c>
      <c r="H215" s="394">
        <v>201</v>
      </c>
      <c r="I215" s="381">
        <f t="shared" si="15"/>
        <v>747117000</v>
      </c>
    </row>
    <row r="216" spans="1:9" ht="17.25" customHeight="1">
      <c r="A216" s="403">
        <v>195</v>
      </c>
      <c r="B216" s="409" t="s">
        <v>648</v>
      </c>
      <c r="C216" s="413" t="s">
        <v>649</v>
      </c>
      <c r="D216" s="408">
        <v>853</v>
      </c>
      <c r="E216" s="381">
        <v>343992</v>
      </c>
      <c r="F216" s="393">
        <v>100</v>
      </c>
      <c r="G216" s="381">
        <f t="shared" si="13"/>
        <v>34399200</v>
      </c>
      <c r="H216" s="394">
        <v>114</v>
      </c>
      <c r="I216" s="381">
        <f t="shared" si="15"/>
        <v>39215088</v>
      </c>
    </row>
    <row r="217" spans="1:9" ht="15" customHeight="1">
      <c r="A217" s="403">
        <v>196</v>
      </c>
      <c r="B217" s="409" t="s">
        <v>650</v>
      </c>
      <c r="C217" s="413" t="s">
        <v>651</v>
      </c>
      <c r="D217" s="408">
        <v>854</v>
      </c>
      <c r="E217" s="381">
        <v>800000</v>
      </c>
      <c r="F217" s="393">
        <v>100</v>
      </c>
      <c r="G217" s="381">
        <f t="shared" si="13"/>
        <v>80000000</v>
      </c>
      <c r="H217" s="394">
        <v>83</v>
      </c>
      <c r="I217" s="381">
        <f t="shared" si="15"/>
        <v>66400000</v>
      </c>
    </row>
    <row r="218" spans="1:9" ht="15" customHeight="1">
      <c r="A218" s="403">
        <v>197</v>
      </c>
      <c r="B218" s="409" t="s">
        <v>652</v>
      </c>
      <c r="C218" s="413" t="s">
        <v>653</v>
      </c>
      <c r="D218" s="408">
        <v>855</v>
      </c>
      <c r="E218" s="381">
        <v>1288000</v>
      </c>
      <c r="F218" s="393">
        <v>100</v>
      </c>
      <c r="G218" s="381">
        <f t="shared" si="13"/>
        <v>128800000</v>
      </c>
      <c r="H218" s="394">
        <v>145</v>
      </c>
      <c r="I218" s="381">
        <f t="shared" si="15"/>
        <v>186760000</v>
      </c>
    </row>
    <row r="219" spans="1:9" ht="15" customHeight="1">
      <c r="A219" s="403">
        <v>198</v>
      </c>
      <c r="B219" s="409" t="s">
        <v>654</v>
      </c>
      <c r="C219" s="413" t="s">
        <v>655</v>
      </c>
      <c r="D219" s="408">
        <v>856</v>
      </c>
      <c r="E219" s="381">
        <v>2100000</v>
      </c>
      <c r="F219" s="393">
        <v>100</v>
      </c>
      <c r="G219" s="381">
        <f t="shared" si="13"/>
        <v>210000000</v>
      </c>
      <c r="H219" s="394">
        <v>123</v>
      </c>
      <c r="I219" s="381">
        <f t="shared" si="15"/>
        <v>258300000</v>
      </c>
    </row>
    <row r="220" spans="1:9" ht="15" customHeight="1">
      <c r="A220" s="403">
        <v>199</v>
      </c>
      <c r="B220" s="409" t="s">
        <v>656</v>
      </c>
      <c r="C220" s="413" t="s">
        <v>657</v>
      </c>
      <c r="D220" s="408">
        <v>857</v>
      </c>
      <c r="E220" s="381">
        <v>1000020</v>
      </c>
      <c r="F220" s="393">
        <v>100</v>
      </c>
      <c r="G220" s="381">
        <f t="shared" si="13"/>
        <v>100002000</v>
      </c>
      <c r="H220" s="394">
        <v>114</v>
      </c>
      <c r="I220" s="381">
        <f t="shared" si="15"/>
        <v>114002280</v>
      </c>
    </row>
    <row r="221" spans="1:9">
      <c r="A221" s="403">
        <v>200</v>
      </c>
      <c r="B221" s="409" t="s">
        <v>658</v>
      </c>
      <c r="C221" s="413" t="s">
        <v>659</v>
      </c>
      <c r="D221" s="408">
        <v>858</v>
      </c>
      <c r="E221" s="381">
        <v>1000000</v>
      </c>
      <c r="F221" s="393">
        <v>100</v>
      </c>
      <c r="G221" s="381">
        <f t="shared" si="13"/>
        <v>100000000</v>
      </c>
      <c r="H221" s="394">
        <v>74</v>
      </c>
      <c r="I221" s="381">
        <f t="shared" si="15"/>
        <v>74000000</v>
      </c>
    </row>
    <row r="222" spans="1:9" ht="15" customHeight="1">
      <c r="A222" s="403">
        <v>201</v>
      </c>
      <c r="B222" s="409" t="s">
        <v>175</v>
      </c>
      <c r="C222" s="413" t="s">
        <v>660</v>
      </c>
      <c r="D222" s="408">
        <v>859</v>
      </c>
      <c r="E222" s="381">
        <v>3200000</v>
      </c>
      <c r="F222" s="393">
        <v>100</v>
      </c>
      <c r="G222" s="381">
        <f t="shared" si="13"/>
        <v>320000000</v>
      </c>
      <c r="H222" s="394">
        <v>92</v>
      </c>
      <c r="I222" s="381">
        <f t="shared" si="15"/>
        <v>294400000</v>
      </c>
    </row>
    <row r="223" spans="1:9" ht="15" customHeight="1">
      <c r="A223" s="403">
        <v>202</v>
      </c>
      <c r="B223" s="409" t="s">
        <v>661</v>
      </c>
      <c r="C223" s="413" t="s">
        <v>662</v>
      </c>
      <c r="D223" s="408">
        <v>860</v>
      </c>
      <c r="E223" s="381">
        <v>2000000</v>
      </c>
      <c r="F223" s="393">
        <v>100</v>
      </c>
      <c r="G223" s="381">
        <f t="shared" si="13"/>
        <v>200000000</v>
      </c>
      <c r="H223" s="394">
        <v>98</v>
      </c>
      <c r="I223" s="381">
        <f t="shared" si="15"/>
        <v>196000000</v>
      </c>
    </row>
    <row r="224" spans="1:9" ht="15" customHeight="1">
      <c r="A224" s="403">
        <v>203</v>
      </c>
      <c r="B224" s="409" t="s">
        <v>663</v>
      </c>
      <c r="C224" s="413" t="s">
        <v>664</v>
      </c>
      <c r="D224" s="408">
        <v>861</v>
      </c>
      <c r="E224" s="381">
        <v>1100000</v>
      </c>
      <c r="F224" s="393">
        <v>100</v>
      </c>
      <c r="G224" s="381">
        <f t="shared" si="13"/>
        <v>110000000</v>
      </c>
      <c r="H224" s="394">
        <v>127</v>
      </c>
      <c r="I224" s="381">
        <f t="shared" si="15"/>
        <v>139700000</v>
      </c>
    </row>
    <row r="225" spans="1:9" ht="15" customHeight="1">
      <c r="A225" s="403">
        <v>204</v>
      </c>
      <c r="B225" s="409" t="s">
        <v>665</v>
      </c>
      <c r="C225" s="413" t="s">
        <v>666</v>
      </c>
      <c r="D225" s="408">
        <v>862</v>
      </c>
      <c r="E225" s="381">
        <v>2300000</v>
      </c>
      <c r="F225" s="393">
        <v>100</v>
      </c>
      <c r="G225" s="381">
        <f t="shared" si="13"/>
        <v>230000000</v>
      </c>
      <c r="H225" s="394">
        <v>205</v>
      </c>
      <c r="I225" s="381">
        <f t="shared" si="15"/>
        <v>471500000</v>
      </c>
    </row>
    <row r="226" spans="1:9" ht="15" customHeight="1">
      <c r="A226" s="403">
        <v>205</v>
      </c>
      <c r="B226" s="409" t="s">
        <v>667</v>
      </c>
      <c r="C226" s="413" t="s">
        <v>668</v>
      </c>
      <c r="D226" s="408">
        <v>863</v>
      </c>
      <c r="E226" s="381">
        <v>2001000</v>
      </c>
      <c r="F226" s="393">
        <v>100</v>
      </c>
      <c r="G226" s="381">
        <f t="shared" si="13"/>
        <v>200100000</v>
      </c>
      <c r="H226" s="394">
        <v>82</v>
      </c>
      <c r="I226" s="381">
        <f t="shared" si="15"/>
        <v>164082000</v>
      </c>
    </row>
    <row r="227" spans="1:9" ht="15" customHeight="1">
      <c r="A227" s="403">
        <v>206</v>
      </c>
      <c r="B227" s="409" t="s">
        <v>669</v>
      </c>
      <c r="C227" s="413" t="s">
        <v>670</v>
      </c>
      <c r="D227" s="408">
        <v>864</v>
      </c>
      <c r="E227" s="381">
        <v>3200000</v>
      </c>
      <c r="F227" s="393">
        <v>100</v>
      </c>
      <c r="G227" s="381">
        <f t="shared" si="13"/>
        <v>320000000</v>
      </c>
      <c r="H227" s="394">
        <v>127</v>
      </c>
      <c r="I227" s="381">
        <f t="shared" si="15"/>
        <v>406400000</v>
      </c>
    </row>
    <row r="228" spans="1:9" ht="15" customHeight="1">
      <c r="A228" s="403">
        <v>207</v>
      </c>
      <c r="B228" s="409" t="s">
        <v>283</v>
      </c>
      <c r="C228" s="413" t="s">
        <v>671</v>
      </c>
      <c r="D228" s="408">
        <v>865</v>
      </c>
      <c r="E228" s="381">
        <v>3838363</v>
      </c>
      <c r="F228" s="393">
        <v>100</v>
      </c>
      <c r="G228" s="381">
        <f t="shared" si="13"/>
        <v>383836300</v>
      </c>
      <c r="H228" s="394">
        <v>368</v>
      </c>
      <c r="I228" s="381">
        <f t="shared" si="15"/>
        <v>1412517584</v>
      </c>
    </row>
    <row r="229" spans="1:9" ht="15" customHeight="1">
      <c r="A229" s="403">
        <v>208</v>
      </c>
      <c r="B229" s="409" t="s">
        <v>171</v>
      </c>
      <c r="C229" s="413" t="s">
        <v>672</v>
      </c>
      <c r="D229" s="408">
        <v>866</v>
      </c>
      <c r="E229" s="381">
        <v>3675000</v>
      </c>
      <c r="F229" s="393">
        <v>100</v>
      </c>
      <c r="G229" s="381">
        <f t="shared" si="13"/>
        <v>367500000</v>
      </c>
      <c r="H229" s="394">
        <v>586</v>
      </c>
      <c r="I229" s="381">
        <f t="shared" si="15"/>
        <v>2153550000</v>
      </c>
    </row>
    <row r="230" spans="1:9" s="415" customFormat="1" ht="15" customHeight="1">
      <c r="A230" s="403">
        <v>209</v>
      </c>
      <c r="B230" s="409" t="s">
        <v>184</v>
      </c>
      <c r="C230" s="413" t="s">
        <v>673</v>
      </c>
      <c r="D230" s="408">
        <v>868</v>
      </c>
      <c r="E230" s="414">
        <v>7783776</v>
      </c>
      <c r="F230" s="393">
        <v>100</v>
      </c>
      <c r="G230" s="381">
        <f t="shared" si="13"/>
        <v>778377600</v>
      </c>
      <c r="H230" s="394">
        <v>285</v>
      </c>
      <c r="I230" s="381">
        <f t="shared" si="15"/>
        <v>2218376160</v>
      </c>
    </row>
    <row r="231" spans="1:9" ht="15" customHeight="1">
      <c r="A231" s="403">
        <v>210</v>
      </c>
      <c r="B231" s="409" t="s">
        <v>674</v>
      </c>
      <c r="C231" s="413" t="s">
        <v>675</v>
      </c>
      <c r="D231" s="408">
        <v>869</v>
      </c>
      <c r="E231" s="414">
        <v>500000</v>
      </c>
      <c r="F231" s="393">
        <v>100</v>
      </c>
      <c r="G231" s="381">
        <f t="shared" si="13"/>
        <v>50000000</v>
      </c>
      <c r="H231" s="394">
        <v>105</v>
      </c>
      <c r="I231" s="381">
        <f t="shared" si="15"/>
        <v>52500000</v>
      </c>
    </row>
    <row r="232" spans="1:9" ht="15" customHeight="1">
      <c r="A232" s="403">
        <v>211</v>
      </c>
      <c r="B232" s="409" t="s">
        <v>676</v>
      </c>
      <c r="C232" s="413" t="s">
        <v>677</v>
      </c>
      <c r="D232" s="408">
        <v>870</v>
      </c>
      <c r="E232" s="414">
        <v>1000000</v>
      </c>
      <c r="F232" s="393">
        <v>100</v>
      </c>
      <c r="G232" s="381">
        <f t="shared" si="13"/>
        <v>100000000</v>
      </c>
      <c r="H232" s="394">
        <v>545</v>
      </c>
      <c r="I232" s="381">
        <f t="shared" si="15"/>
        <v>545000000</v>
      </c>
    </row>
    <row r="233" spans="1:9" ht="15" customHeight="1">
      <c r="A233" s="403">
        <v>212</v>
      </c>
      <c r="B233" s="409" t="s">
        <v>678</v>
      </c>
      <c r="C233" s="413" t="s">
        <v>679</v>
      </c>
      <c r="D233" s="408">
        <v>871</v>
      </c>
      <c r="E233" s="414">
        <v>280000</v>
      </c>
      <c r="F233" s="393">
        <v>100</v>
      </c>
      <c r="G233" s="381">
        <f t="shared" ref="G233:G235" si="16">E233*F233</f>
        <v>28000000</v>
      </c>
      <c r="H233" s="394">
        <v>759</v>
      </c>
      <c r="I233" s="381">
        <f t="shared" si="15"/>
        <v>212520000</v>
      </c>
    </row>
    <row r="234" spans="1:9" ht="15" customHeight="1">
      <c r="A234" s="403">
        <v>213</v>
      </c>
      <c r="B234" s="409" t="s">
        <v>202</v>
      </c>
      <c r="C234" s="413" t="s">
        <v>680</v>
      </c>
      <c r="D234" s="408">
        <v>872</v>
      </c>
      <c r="E234" s="414">
        <v>6400000</v>
      </c>
      <c r="F234" s="393">
        <v>100</v>
      </c>
      <c r="G234" s="381">
        <f t="shared" si="16"/>
        <v>640000000</v>
      </c>
      <c r="H234" s="394">
        <v>142</v>
      </c>
      <c r="I234" s="381">
        <f t="shared" si="15"/>
        <v>908800000</v>
      </c>
    </row>
    <row r="235" spans="1:9" ht="15" customHeight="1">
      <c r="A235" s="403">
        <v>214</v>
      </c>
      <c r="B235" s="409" t="s">
        <v>681</v>
      </c>
      <c r="C235" s="413" t="s">
        <v>682</v>
      </c>
      <c r="D235" s="408">
        <v>874</v>
      </c>
      <c r="E235" s="414">
        <v>1100000</v>
      </c>
      <c r="F235" s="393">
        <v>100</v>
      </c>
      <c r="G235" s="381">
        <f t="shared" si="16"/>
        <v>110000000</v>
      </c>
      <c r="H235" s="394">
        <v>183</v>
      </c>
      <c r="I235" s="381">
        <f t="shared" si="15"/>
        <v>201300000</v>
      </c>
    </row>
    <row r="236" spans="1:9" ht="15" customHeight="1">
      <c r="A236" s="403">
        <v>215</v>
      </c>
      <c r="B236" s="409" t="s">
        <v>225</v>
      </c>
      <c r="C236" s="413" t="s">
        <v>683</v>
      </c>
      <c r="D236" s="408">
        <v>875</v>
      </c>
      <c r="E236" s="414">
        <v>2000000</v>
      </c>
      <c r="F236" s="393">
        <v>100</v>
      </c>
      <c r="G236" s="381">
        <f t="shared" ref="G236:G242" si="17">F236*E236</f>
        <v>200000000</v>
      </c>
      <c r="H236" s="394">
        <v>88</v>
      </c>
      <c r="I236" s="381">
        <f t="shared" si="15"/>
        <v>176000000</v>
      </c>
    </row>
    <row r="237" spans="1:9" ht="15" customHeight="1">
      <c r="A237" s="403">
        <v>216</v>
      </c>
      <c r="B237" s="409" t="s">
        <v>684</v>
      </c>
      <c r="C237" s="416" t="s">
        <v>685</v>
      </c>
      <c r="D237" s="408">
        <v>876</v>
      </c>
      <c r="E237" s="414">
        <v>732000</v>
      </c>
      <c r="F237" s="393">
        <v>100</v>
      </c>
      <c r="G237" s="381">
        <f t="shared" si="17"/>
        <v>73200000</v>
      </c>
      <c r="H237" s="394">
        <v>201</v>
      </c>
      <c r="I237" s="381">
        <f t="shared" si="15"/>
        <v>147132000</v>
      </c>
    </row>
    <row r="238" spans="1:9" ht="15" customHeight="1">
      <c r="A238" s="403">
        <v>217</v>
      </c>
      <c r="B238" s="409" t="s">
        <v>686</v>
      </c>
      <c r="C238" s="416" t="s">
        <v>687</v>
      </c>
      <c r="D238" s="408">
        <v>877</v>
      </c>
      <c r="E238" s="414">
        <v>1229600</v>
      </c>
      <c r="F238" s="393">
        <v>100</v>
      </c>
      <c r="G238" s="381">
        <f t="shared" si="17"/>
        <v>122960000</v>
      </c>
      <c r="H238" s="394">
        <v>195</v>
      </c>
      <c r="I238" s="381">
        <f t="shared" si="15"/>
        <v>239772000</v>
      </c>
    </row>
    <row r="239" spans="1:9" s="181" customFormat="1" ht="15" customHeight="1">
      <c r="A239" s="403">
        <v>218</v>
      </c>
      <c r="B239" s="409" t="s">
        <v>224</v>
      </c>
      <c r="C239" s="416" t="s">
        <v>688</v>
      </c>
      <c r="D239" s="408">
        <v>878</v>
      </c>
      <c r="E239" s="414">
        <v>2140000</v>
      </c>
      <c r="F239" s="393">
        <v>100</v>
      </c>
      <c r="G239" s="381">
        <f t="shared" si="17"/>
        <v>214000000</v>
      </c>
      <c r="H239" s="394">
        <v>132</v>
      </c>
      <c r="I239" s="381">
        <f t="shared" si="15"/>
        <v>282480000</v>
      </c>
    </row>
    <row r="240" spans="1:9" ht="15" customHeight="1">
      <c r="A240" s="403">
        <v>219</v>
      </c>
      <c r="B240" s="409" t="s">
        <v>689</v>
      </c>
      <c r="C240" s="416" t="s">
        <v>690</v>
      </c>
      <c r="D240" s="408">
        <v>867</v>
      </c>
      <c r="E240" s="414">
        <v>944860</v>
      </c>
      <c r="F240" s="393">
        <v>100</v>
      </c>
      <c r="G240" s="381">
        <f t="shared" si="17"/>
        <v>94486000</v>
      </c>
      <c r="H240" s="394">
        <v>103</v>
      </c>
      <c r="I240" s="381">
        <f t="shared" si="15"/>
        <v>97320580</v>
      </c>
    </row>
    <row r="241" spans="1:9" ht="15" customHeight="1">
      <c r="A241" s="403">
        <v>220</v>
      </c>
      <c r="B241" s="409" t="s">
        <v>691</v>
      </c>
      <c r="C241" s="416" t="s">
        <v>692</v>
      </c>
      <c r="D241" s="408">
        <v>868</v>
      </c>
      <c r="E241" s="414">
        <v>100000</v>
      </c>
      <c r="F241" s="393">
        <v>100</v>
      </c>
      <c r="G241" s="381">
        <f t="shared" si="17"/>
        <v>10000000</v>
      </c>
      <c r="H241" s="394">
        <v>117</v>
      </c>
      <c r="I241" s="381">
        <f t="shared" si="15"/>
        <v>11700000</v>
      </c>
    </row>
    <row r="242" spans="1:9" ht="15" customHeight="1">
      <c r="A242" s="403">
        <v>221</v>
      </c>
      <c r="B242" s="409" t="s">
        <v>693</v>
      </c>
      <c r="C242" s="416" t="s">
        <v>694</v>
      </c>
      <c r="D242" s="408">
        <v>879</v>
      </c>
      <c r="E242" s="414">
        <v>300000</v>
      </c>
      <c r="F242" s="393">
        <v>100</v>
      </c>
      <c r="G242" s="381">
        <f t="shared" si="17"/>
        <v>30000000</v>
      </c>
      <c r="H242" s="394">
        <v>121</v>
      </c>
      <c r="I242" s="381">
        <f t="shared" si="15"/>
        <v>36300000</v>
      </c>
    </row>
    <row r="243" spans="1:9" ht="15" customHeight="1">
      <c r="A243" s="403">
        <v>222</v>
      </c>
      <c r="B243" s="409" t="s">
        <v>695</v>
      </c>
      <c r="C243" s="416" t="s">
        <v>696</v>
      </c>
      <c r="D243" s="408">
        <v>880</v>
      </c>
      <c r="E243" s="414">
        <v>400000</v>
      </c>
      <c r="F243" s="393">
        <v>100</v>
      </c>
      <c r="G243" s="381">
        <f>E243*F243</f>
        <v>40000000</v>
      </c>
      <c r="H243" s="394">
        <v>294</v>
      </c>
      <c r="I243" s="381">
        <f t="shared" si="15"/>
        <v>117600000</v>
      </c>
    </row>
    <row r="244" spans="1:9" ht="15" customHeight="1">
      <c r="A244" s="403">
        <v>223</v>
      </c>
      <c r="B244" s="409" t="s">
        <v>697</v>
      </c>
      <c r="C244" s="416" t="s">
        <v>698</v>
      </c>
      <c r="D244" s="408">
        <v>881</v>
      </c>
      <c r="E244" s="414">
        <v>1400000</v>
      </c>
      <c r="F244" s="393">
        <v>100</v>
      </c>
      <c r="G244" s="381">
        <f>E244*F244</f>
        <v>140000000</v>
      </c>
      <c r="H244" s="394">
        <v>110</v>
      </c>
      <c r="I244" s="381">
        <f t="shared" si="15"/>
        <v>154000000</v>
      </c>
    </row>
    <row r="245" spans="1:9" ht="15" customHeight="1">
      <c r="A245" s="403">
        <v>224</v>
      </c>
      <c r="B245" s="409" t="s">
        <v>699</v>
      </c>
      <c r="C245" s="416" t="s">
        <v>700</v>
      </c>
      <c r="D245" s="408">
        <v>882</v>
      </c>
      <c r="E245" s="414">
        <v>6400000</v>
      </c>
      <c r="F245" s="393">
        <v>100</v>
      </c>
      <c r="G245" s="381">
        <f>F245*E245</f>
        <v>640000000</v>
      </c>
      <c r="H245" s="394">
        <v>113</v>
      </c>
      <c r="I245" s="381">
        <f t="shared" si="15"/>
        <v>723200000</v>
      </c>
    </row>
    <row r="246" spans="1:9" ht="15" customHeight="1">
      <c r="A246" s="403">
        <v>225</v>
      </c>
      <c r="B246" s="409" t="s">
        <v>701</v>
      </c>
      <c r="C246" s="416" t="s">
        <v>702</v>
      </c>
      <c r="D246" s="408">
        <v>883</v>
      </c>
      <c r="E246" s="414">
        <v>500000</v>
      </c>
      <c r="F246" s="393">
        <v>100</v>
      </c>
      <c r="G246" s="381">
        <f>F246*E246</f>
        <v>50000000</v>
      </c>
      <c r="H246" s="394">
        <v>150</v>
      </c>
      <c r="I246" s="381">
        <f t="shared" si="15"/>
        <v>75000000</v>
      </c>
    </row>
    <row r="247" spans="1:9" ht="15" customHeight="1">
      <c r="A247" s="403">
        <v>226</v>
      </c>
      <c r="B247" s="393" t="s">
        <v>237</v>
      </c>
      <c r="C247" s="416" t="s">
        <v>703</v>
      </c>
      <c r="D247" s="408">
        <v>884</v>
      </c>
      <c r="E247" s="414">
        <v>157000</v>
      </c>
      <c r="F247" s="393">
        <v>100</v>
      </c>
      <c r="G247" s="381">
        <f>F247*E247</f>
        <v>15700000</v>
      </c>
      <c r="H247" s="394">
        <v>816</v>
      </c>
      <c r="I247" s="381">
        <f t="shared" si="15"/>
        <v>128112000</v>
      </c>
    </row>
    <row r="248" spans="1:9" ht="15" customHeight="1">
      <c r="A248" s="403">
        <v>227</v>
      </c>
      <c r="B248" s="393" t="s">
        <v>704</v>
      </c>
      <c r="C248" s="416" t="s">
        <v>705</v>
      </c>
      <c r="D248" s="408">
        <v>886</v>
      </c>
      <c r="E248" s="414">
        <v>1000000</v>
      </c>
      <c r="F248" s="393">
        <v>100</v>
      </c>
      <c r="G248" s="381">
        <f>F248*E248</f>
        <v>100000000</v>
      </c>
      <c r="H248" s="394">
        <v>108</v>
      </c>
      <c r="I248" s="381">
        <f t="shared" si="15"/>
        <v>108000000</v>
      </c>
    </row>
    <row r="249" spans="1:9" ht="15" customHeight="1">
      <c r="A249" s="403">
        <v>228</v>
      </c>
      <c r="B249" s="393" t="s">
        <v>284</v>
      </c>
      <c r="C249" s="416" t="s">
        <v>706</v>
      </c>
      <c r="D249" s="408">
        <v>887</v>
      </c>
      <c r="E249" s="414">
        <v>400000</v>
      </c>
      <c r="F249" s="393">
        <v>100</v>
      </c>
      <c r="G249" s="381">
        <f>F249*E249</f>
        <v>40000000</v>
      </c>
      <c r="H249" s="394">
        <v>108</v>
      </c>
      <c r="I249" s="381">
        <f t="shared" si="15"/>
        <v>43200000</v>
      </c>
    </row>
    <row r="250" spans="1:9" ht="15" customHeight="1">
      <c r="A250" s="403">
        <v>229</v>
      </c>
      <c r="B250" s="393" t="s">
        <v>707</v>
      </c>
      <c r="C250" s="416" t="s">
        <v>708</v>
      </c>
      <c r="D250" s="408">
        <v>889</v>
      </c>
      <c r="E250" s="414">
        <v>4000000</v>
      </c>
      <c r="F250" s="393">
        <v>0</v>
      </c>
      <c r="G250" s="381">
        <v>0</v>
      </c>
      <c r="H250" s="394">
        <v>0</v>
      </c>
      <c r="I250" s="381">
        <f t="shared" si="15"/>
        <v>0</v>
      </c>
    </row>
    <row r="251" spans="1:9" ht="15" customHeight="1">
      <c r="A251" s="403">
        <v>230</v>
      </c>
      <c r="B251" s="393" t="s">
        <v>709</v>
      </c>
      <c r="C251" s="416" t="s">
        <v>710</v>
      </c>
      <c r="D251" s="408">
        <v>890</v>
      </c>
      <c r="E251" s="414">
        <v>1000000</v>
      </c>
      <c r="F251" s="393">
        <v>0</v>
      </c>
      <c r="G251" s="381">
        <v>0</v>
      </c>
      <c r="H251" s="394">
        <v>0</v>
      </c>
      <c r="I251" s="381">
        <f t="shared" si="15"/>
        <v>0</v>
      </c>
    </row>
    <row r="252" spans="1:9" ht="15" customHeight="1">
      <c r="A252" s="403">
        <v>231</v>
      </c>
      <c r="B252" s="393" t="s">
        <v>711</v>
      </c>
      <c r="C252" s="416" t="s">
        <v>712</v>
      </c>
      <c r="D252" s="408">
        <v>891</v>
      </c>
      <c r="E252" s="414">
        <v>2300000</v>
      </c>
      <c r="F252" s="393">
        <v>100</v>
      </c>
      <c r="G252" s="381">
        <f t="shared" ref="G252:G257" si="18">E252*F252</f>
        <v>230000000</v>
      </c>
      <c r="H252" s="394">
        <v>1131</v>
      </c>
      <c r="I252" s="381">
        <f t="shared" si="15"/>
        <v>2601300000</v>
      </c>
    </row>
    <row r="253" spans="1:9" ht="15" customHeight="1">
      <c r="A253" s="403">
        <v>232</v>
      </c>
      <c r="B253" s="393" t="s">
        <v>306</v>
      </c>
      <c r="C253" s="416" t="s">
        <v>713</v>
      </c>
      <c r="D253" s="408">
        <v>892</v>
      </c>
      <c r="E253" s="414">
        <v>5200000</v>
      </c>
      <c r="F253" s="393">
        <v>100</v>
      </c>
      <c r="G253" s="381">
        <f t="shared" si="18"/>
        <v>520000000</v>
      </c>
      <c r="H253" s="394">
        <v>840</v>
      </c>
      <c r="I253" s="381">
        <f t="shared" si="15"/>
        <v>4368000000</v>
      </c>
    </row>
    <row r="254" spans="1:9" ht="15" customHeight="1">
      <c r="A254" s="403">
        <v>233</v>
      </c>
      <c r="B254" s="393" t="s">
        <v>307</v>
      </c>
      <c r="C254" s="416" t="s">
        <v>714</v>
      </c>
      <c r="D254" s="408">
        <v>893</v>
      </c>
      <c r="E254" s="414">
        <v>601000</v>
      </c>
      <c r="F254" s="393">
        <v>100</v>
      </c>
      <c r="G254" s="401">
        <f t="shared" si="18"/>
        <v>60100000</v>
      </c>
      <c r="H254" s="394">
        <v>147</v>
      </c>
      <c r="I254" s="381">
        <f t="shared" si="15"/>
        <v>88347000</v>
      </c>
    </row>
    <row r="255" spans="1:9" ht="15" customHeight="1">
      <c r="A255" s="403">
        <v>234</v>
      </c>
      <c r="B255" s="393" t="s">
        <v>715</v>
      </c>
      <c r="C255" s="416" t="s">
        <v>716</v>
      </c>
      <c r="D255" s="408">
        <v>894</v>
      </c>
      <c r="E255" s="414">
        <v>1000000</v>
      </c>
      <c r="F255" s="393">
        <v>100</v>
      </c>
      <c r="G255" s="401">
        <f t="shared" si="18"/>
        <v>100000000</v>
      </c>
      <c r="H255" s="394">
        <v>0</v>
      </c>
      <c r="I255" s="381">
        <f t="shared" si="15"/>
        <v>0</v>
      </c>
    </row>
    <row r="256" spans="1:9" ht="15" customHeight="1">
      <c r="A256" s="403">
        <v>235</v>
      </c>
      <c r="B256" s="393" t="s">
        <v>1009</v>
      </c>
      <c r="C256" s="416" t="s">
        <v>1061</v>
      </c>
      <c r="D256" s="408">
        <v>895</v>
      </c>
      <c r="E256" s="414">
        <v>1200000</v>
      </c>
      <c r="F256" s="393">
        <v>100</v>
      </c>
      <c r="G256" s="401">
        <f t="shared" si="18"/>
        <v>120000000</v>
      </c>
      <c r="H256" s="394">
        <v>102</v>
      </c>
      <c r="I256" s="381">
        <f t="shared" si="15"/>
        <v>122400000</v>
      </c>
    </row>
    <row r="257" spans="1:9" ht="15" customHeight="1">
      <c r="A257" s="403">
        <v>236</v>
      </c>
      <c r="B257" s="393" t="s">
        <v>1003</v>
      </c>
      <c r="C257" s="416" t="s">
        <v>525</v>
      </c>
      <c r="D257" s="408">
        <v>760</v>
      </c>
      <c r="E257" s="414">
        <v>7659640</v>
      </c>
      <c r="F257" s="393">
        <v>100</v>
      </c>
      <c r="G257" s="401">
        <f t="shared" si="18"/>
        <v>765964000</v>
      </c>
      <c r="H257" s="394">
        <v>256</v>
      </c>
      <c r="I257" s="381">
        <f t="shared" si="15"/>
        <v>1960867840</v>
      </c>
    </row>
    <row r="258" spans="1:9">
      <c r="A258" s="396"/>
      <c r="B258" s="397" t="s">
        <v>372</v>
      </c>
      <c r="C258" s="417"/>
      <c r="D258" s="397"/>
      <c r="E258" s="396">
        <f>SUM(E169:E257)</f>
        <v>259456249</v>
      </c>
      <c r="F258" s="397"/>
      <c r="G258" s="396">
        <f>SUM(G169:G257)</f>
        <v>25445624900</v>
      </c>
      <c r="H258" s="398"/>
      <c r="I258" s="396">
        <f>SUM(I169:I257)</f>
        <v>53770754451</v>
      </c>
    </row>
    <row r="259" spans="1:9" ht="3" hidden="1" customHeight="1">
      <c r="A259" s="386"/>
      <c r="B259" s="417" t="s">
        <v>717</v>
      </c>
      <c r="C259" s="417"/>
      <c r="D259" s="417"/>
      <c r="E259" s="418">
        <f>SUM(E35+E55+E61+E65+E72+E78+E102+E258+E167)</f>
        <v>1428655044</v>
      </c>
      <c r="F259" s="417" t="s">
        <v>3</v>
      </c>
      <c r="G259" s="399">
        <f>SUM(G35+G55+G61+G65+G72+G78+G102+G258+G167)</f>
        <v>137872219660</v>
      </c>
      <c r="H259" s="419"/>
      <c r="I259" s="399">
        <f>SUM(I35+I55+I61+I65+I72+I78+I102+I167+I258)</f>
        <v>799760339683.5</v>
      </c>
    </row>
    <row r="260" spans="1:9" ht="15" hidden="1" customHeight="1">
      <c r="A260" s="420"/>
      <c r="B260" s="393" t="s">
        <v>3</v>
      </c>
      <c r="C260" s="420"/>
      <c r="D260" s="420"/>
      <c r="E260" s="420"/>
      <c r="F260" s="420"/>
      <c r="G260" s="420" t="s">
        <v>718</v>
      </c>
      <c r="H260" s="421" t="s">
        <v>327</v>
      </c>
      <c r="I260" s="420" t="s">
        <v>3</v>
      </c>
    </row>
    <row r="261" spans="1:9" ht="15" hidden="1" customHeight="1">
      <c r="A261" s="420"/>
      <c r="B261" s="393"/>
      <c r="C261" s="420"/>
      <c r="D261" s="420" t="s">
        <v>719</v>
      </c>
      <c r="E261" s="420"/>
      <c r="F261" s="422"/>
      <c r="G261" s="423" t="e">
        <f>+#REF!/#REF!*100</f>
        <v>#REF!</v>
      </c>
      <c r="H261" s="421">
        <v>246.18469325797071</v>
      </c>
      <c r="I261" s="420"/>
    </row>
    <row r="262" spans="1:9" ht="15" hidden="1" customHeight="1">
      <c r="A262" s="420" t="s">
        <v>3</v>
      </c>
      <c r="B262" s="393"/>
      <c r="C262" s="420"/>
      <c r="D262" s="420" t="s">
        <v>720</v>
      </c>
      <c r="E262" s="420"/>
      <c r="F262" s="422"/>
      <c r="G262" s="423" t="e">
        <f>+#REF!/#REF!*100</f>
        <v>#REF!</v>
      </c>
      <c r="H262" s="421">
        <v>246.07499627459092</v>
      </c>
      <c r="I262" s="420" t="s">
        <v>3</v>
      </c>
    </row>
    <row r="263" spans="1:9" ht="15" hidden="1" customHeight="1">
      <c r="A263" s="420"/>
      <c r="B263" s="393"/>
      <c r="C263" s="420"/>
      <c r="D263" s="420" t="s">
        <v>721</v>
      </c>
      <c r="E263" s="420"/>
      <c r="F263" s="422"/>
      <c r="G263" s="423" t="e">
        <f>+#REF!/#REF!*100</f>
        <v>#REF!</v>
      </c>
      <c r="H263" s="421">
        <v>245.86589260337055</v>
      </c>
      <c r="I263" s="420" t="s">
        <v>3</v>
      </c>
    </row>
    <row r="264" spans="1:9" ht="15" hidden="1" customHeight="1">
      <c r="A264" s="420"/>
      <c r="B264" s="393" t="s">
        <v>3</v>
      </c>
      <c r="C264" s="420"/>
      <c r="D264" s="420" t="s">
        <v>722</v>
      </c>
      <c r="E264" s="420"/>
      <c r="F264" s="422"/>
      <c r="G264" s="423" t="e">
        <f>+#REF!/#REF!*100</f>
        <v>#REF!</v>
      </c>
      <c r="H264" s="421">
        <v>245.31150490524743</v>
      </c>
      <c r="I264" s="420" t="s">
        <v>3</v>
      </c>
    </row>
    <row r="265" spans="1:9" ht="15" hidden="1" customHeight="1">
      <c r="A265" s="420"/>
      <c r="B265" s="393"/>
      <c r="C265" s="420"/>
      <c r="D265" s="420" t="s">
        <v>723</v>
      </c>
      <c r="E265" s="420"/>
      <c r="F265" s="422"/>
      <c r="G265" s="423" t="e">
        <f>+#REF!/#REF!*100</f>
        <v>#REF!</v>
      </c>
      <c r="H265" s="421">
        <v>245.66725309402432</v>
      </c>
      <c r="I265" s="420" t="s">
        <v>3</v>
      </c>
    </row>
    <row r="266" spans="1:9" ht="15" hidden="1" customHeight="1">
      <c r="A266" s="420"/>
      <c r="B266" s="393"/>
      <c r="C266" s="420"/>
      <c r="D266" s="420" t="s">
        <v>724</v>
      </c>
      <c r="E266" s="420"/>
      <c r="F266" s="422"/>
      <c r="G266" s="423" t="e">
        <f>+#REF!/#REF!*100</f>
        <v>#REF!</v>
      </c>
      <c r="H266" s="421">
        <v>245.07822248712955</v>
      </c>
      <c r="I266" s="420"/>
    </row>
    <row r="267" spans="1:9" ht="15" hidden="1" customHeight="1">
      <c r="A267" s="420"/>
      <c r="B267" s="393"/>
      <c r="C267" s="420"/>
      <c r="D267" s="420" t="s">
        <v>725</v>
      </c>
      <c r="E267" s="420"/>
      <c r="F267" s="422"/>
      <c r="G267" s="423" t="e">
        <f>+#REF!/#REF!*100</f>
        <v>#REF!</v>
      </c>
      <c r="H267" s="421">
        <v>241.57937186833146</v>
      </c>
      <c r="I267" s="420"/>
    </row>
    <row r="268" spans="1:9" ht="4.1500000000000004" hidden="1" customHeight="1">
      <c r="A268" s="420" t="s">
        <v>3</v>
      </c>
      <c r="B268" s="393"/>
      <c r="C268" s="420"/>
      <c r="D268" s="420" t="s">
        <v>726</v>
      </c>
      <c r="E268" s="420"/>
      <c r="F268" s="422"/>
      <c r="G268" s="423" t="e">
        <f>+#REF!/#REF!*100</f>
        <v>#REF!</v>
      </c>
      <c r="H268" s="421">
        <v>240.80326912177838</v>
      </c>
      <c r="I268" s="420"/>
    </row>
    <row r="269" spans="1:9" ht="15" hidden="1" customHeight="1">
      <c r="A269" s="420"/>
      <c r="B269" s="393"/>
      <c r="C269" s="420"/>
      <c r="D269" s="420" t="s">
        <v>727</v>
      </c>
      <c r="E269" s="420"/>
      <c r="F269" s="422"/>
      <c r="G269" s="423" t="e">
        <f>+#REF!/#REF!*100</f>
        <v>#REF!</v>
      </c>
      <c r="H269" s="421">
        <v>281.36</v>
      </c>
      <c r="I269" s="420" t="s">
        <v>3</v>
      </c>
    </row>
    <row r="270" spans="1:9" ht="15" hidden="1" customHeight="1">
      <c r="A270" s="420"/>
      <c r="B270" s="393"/>
      <c r="C270" s="420"/>
      <c r="D270" s="420" t="s">
        <v>728</v>
      </c>
      <c r="E270" s="420"/>
      <c r="F270" s="422"/>
      <c r="G270" s="423" t="e">
        <f>+#REF!/#REF!*100</f>
        <v>#REF!</v>
      </c>
      <c r="H270" s="421">
        <v>281</v>
      </c>
      <c r="I270" s="420" t="s">
        <v>3</v>
      </c>
    </row>
    <row r="271" spans="1:9" ht="0.75" hidden="1" customHeight="1">
      <c r="A271" s="420"/>
      <c r="B271" s="393"/>
      <c r="C271" s="420"/>
      <c r="D271" s="420" t="s">
        <v>729</v>
      </c>
      <c r="E271" s="420"/>
      <c r="F271" s="422"/>
      <c r="G271" s="423" t="e">
        <f>+#REF!/#REF!*100</f>
        <v>#REF!</v>
      </c>
      <c r="H271" s="421">
        <v>267.73</v>
      </c>
      <c r="I271" s="420" t="s">
        <v>3</v>
      </c>
    </row>
    <row r="272" spans="1:9" ht="15" hidden="1" customHeight="1">
      <c r="A272" s="420"/>
      <c r="B272" s="393"/>
      <c r="C272" s="420"/>
      <c r="D272" s="420" t="s">
        <v>730</v>
      </c>
      <c r="E272" s="420"/>
      <c r="F272" s="422"/>
      <c r="G272" s="423" t="e">
        <f>+#REF!/#REF!*100</f>
        <v>#REF!</v>
      </c>
      <c r="H272" s="421">
        <v>290.35445204117536</v>
      </c>
      <c r="I272" s="420" t="s">
        <v>3</v>
      </c>
    </row>
    <row r="273" spans="1:9" ht="3" hidden="1" customHeight="1">
      <c r="A273" s="420"/>
      <c r="B273" s="393"/>
      <c r="C273" s="420"/>
      <c r="D273" s="420" t="s">
        <v>731</v>
      </c>
      <c r="E273" s="420"/>
      <c r="F273" s="422"/>
      <c r="G273" s="423" t="e">
        <f>+#REF!/#REF!*100</f>
        <v>#REF!</v>
      </c>
      <c r="H273" s="421">
        <v>289.90311130529636</v>
      </c>
      <c r="I273" s="420" t="s">
        <v>3</v>
      </c>
    </row>
    <row r="274" spans="1:9" ht="15" hidden="1" customHeight="1">
      <c r="A274" s="420"/>
      <c r="B274" s="393"/>
      <c r="C274" s="420"/>
      <c r="D274" s="420" t="s">
        <v>732</v>
      </c>
      <c r="E274" s="420"/>
      <c r="F274" s="422"/>
      <c r="G274" s="423" t="e">
        <f>+#REF!/#REF!*100</f>
        <v>#REF!</v>
      </c>
      <c r="H274" s="421">
        <v>295.41219114371256</v>
      </c>
      <c r="I274" s="420" t="s">
        <v>3</v>
      </c>
    </row>
    <row r="275" spans="1:9" ht="15" hidden="1" customHeight="1">
      <c r="A275" s="420"/>
      <c r="B275" s="393"/>
      <c r="C275" s="420"/>
      <c r="D275" s="420" t="s">
        <v>733</v>
      </c>
      <c r="E275" s="420"/>
      <c r="F275" s="422"/>
      <c r="G275" s="423" t="e">
        <f>+#REF!/#REF!*100</f>
        <v>#REF!</v>
      </c>
      <c r="H275" s="421">
        <v>295.38840994258658</v>
      </c>
      <c r="I275" s="420" t="s">
        <v>3</v>
      </c>
    </row>
    <row r="276" spans="1:9" ht="1.1499999999999999" hidden="1" customHeight="1">
      <c r="A276" s="420"/>
      <c r="B276" s="393"/>
      <c r="C276" s="420"/>
      <c r="D276" s="420" t="s">
        <v>734</v>
      </c>
      <c r="E276" s="420"/>
      <c r="F276" s="422"/>
      <c r="G276" s="423" t="e">
        <f>+#REF!/#REF!*100</f>
        <v>#REF!</v>
      </c>
      <c r="H276" s="421">
        <v>295.00800974767378</v>
      </c>
      <c r="I276" s="420" t="s">
        <v>3</v>
      </c>
    </row>
    <row r="277" spans="1:9" ht="15" hidden="1" customHeight="1">
      <c r="A277" s="420"/>
      <c r="B277" s="393"/>
      <c r="C277" s="420"/>
      <c r="D277" s="420" t="s">
        <v>735</v>
      </c>
      <c r="E277" s="420"/>
      <c r="F277" s="422"/>
      <c r="G277" s="423" t="e">
        <f>+#REF!/#REF!*100</f>
        <v>#REF!</v>
      </c>
      <c r="H277" s="421">
        <v>299.99599709657423</v>
      </c>
      <c r="I277" s="420" t="s">
        <v>3</v>
      </c>
    </row>
    <row r="278" spans="1:9" ht="15" hidden="1" customHeight="1">
      <c r="A278" s="420"/>
      <c r="B278" s="393"/>
      <c r="C278" s="420"/>
      <c r="D278" s="420" t="s">
        <v>736</v>
      </c>
      <c r="E278" s="420"/>
      <c r="F278" s="422"/>
      <c r="G278" s="423" t="e">
        <f>+#REF!/#REF!*100</f>
        <v>#REF!</v>
      </c>
      <c r="H278" s="421">
        <v>295.66123258047787</v>
      </c>
      <c r="I278" s="420" t="s">
        <v>3</v>
      </c>
    </row>
    <row r="279" spans="1:9" ht="15" hidden="1" customHeight="1">
      <c r="A279" s="420"/>
      <c r="B279" s="393"/>
      <c r="C279" s="420"/>
      <c r="D279" s="420" t="s">
        <v>737</v>
      </c>
      <c r="E279" s="420"/>
      <c r="F279" s="422"/>
      <c r="G279" s="423" t="e">
        <f>+#REF!/#REF!*100</f>
        <v>#REF!</v>
      </c>
      <c r="H279" s="421">
        <v>295.607741884078</v>
      </c>
      <c r="I279" s="420" t="s">
        <v>3</v>
      </c>
    </row>
    <row r="280" spans="1:9" ht="15" hidden="1" customHeight="1">
      <c r="A280" s="420"/>
      <c r="B280" s="393"/>
      <c r="C280" s="420"/>
      <c r="D280" s="420" t="s">
        <v>738</v>
      </c>
      <c r="E280" s="420"/>
      <c r="F280" s="422"/>
      <c r="G280" s="423" t="e">
        <f>+#REF!/#REF!*100</f>
        <v>#REF!</v>
      </c>
      <c r="H280" s="421">
        <v>279.53524968218187</v>
      </c>
      <c r="I280" s="420" t="s">
        <v>3</v>
      </c>
    </row>
    <row r="281" spans="1:9" ht="15" hidden="1" customHeight="1">
      <c r="A281" s="420"/>
      <c r="B281" s="393"/>
      <c r="C281" s="420"/>
      <c r="D281" s="420" t="s">
        <v>739</v>
      </c>
      <c r="E281" s="420"/>
      <c r="F281" s="422"/>
      <c r="G281" s="423" t="e">
        <f>+#REF!/#REF!*100</f>
        <v>#REF!</v>
      </c>
      <c r="H281" s="421">
        <v>279.54703025194749</v>
      </c>
      <c r="I281" s="420" t="s">
        <v>3</v>
      </c>
    </row>
    <row r="282" spans="1:9" ht="15" hidden="1" customHeight="1">
      <c r="A282" s="420"/>
      <c r="B282" s="393"/>
      <c r="C282" s="420"/>
      <c r="D282" s="420" t="s">
        <v>740</v>
      </c>
      <c r="E282" s="420"/>
      <c r="F282" s="422"/>
      <c r="G282" s="423" t="e">
        <f>+#REF!/#REF!*100</f>
        <v>#REF!</v>
      </c>
      <c r="H282" s="421">
        <v>279.0658833037981</v>
      </c>
      <c r="I282" s="420" t="s">
        <v>3</v>
      </c>
    </row>
    <row r="283" spans="1:9" ht="15" hidden="1" customHeight="1">
      <c r="A283" s="420"/>
      <c r="B283" s="393"/>
      <c r="C283" s="420"/>
      <c r="D283" s="420" t="s">
        <v>741</v>
      </c>
      <c r="E283" s="420"/>
      <c r="F283" s="422"/>
      <c r="G283" s="423" t="e">
        <f>+#REF!/#REF!*100</f>
        <v>#REF!</v>
      </c>
      <c r="H283" s="421">
        <v>278.97746587380408</v>
      </c>
      <c r="I283" s="420" t="s">
        <v>3</v>
      </c>
    </row>
    <row r="284" spans="1:9" ht="15" hidden="1" customHeight="1">
      <c r="A284" s="420"/>
      <c r="B284" s="393"/>
      <c r="C284" s="420"/>
      <c r="D284" s="420" t="s">
        <v>742</v>
      </c>
      <c r="E284" s="420"/>
      <c r="F284" s="422"/>
      <c r="G284" s="423" t="e">
        <f>+#REF!/#REF!*100</f>
        <v>#REF!</v>
      </c>
      <c r="H284" s="421">
        <v>290.04380784502837</v>
      </c>
      <c r="I284" s="420" t="s">
        <v>3</v>
      </c>
    </row>
    <row r="285" spans="1:9" ht="0.75" hidden="1" customHeight="1">
      <c r="A285" s="420"/>
      <c r="B285" s="393"/>
      <c r="C285" s="420"/>
      <c r="D285" s="420" t="s">
        <v>743</v>
      </c>
      <c r="E285" s="420"/>
      <c r="F285" s="422"/>
      <c r="G285" s="423" t="e">
        <f>+#REF!/#REF!*100</f>
        <v>#REF!</v>
      </c>
      <c r="H285" s="421">
        <v>289.97592596952632</v>
      </c>
      <c r="I285" s="420" t="s">
        <v>3</v>
      </c>
    </row>
    <row r="286" spans="1:9" ht="15" hidden="1" customHeight="1">
      <c r="A286" s="420"/>
      <c r="B286" s="393"/>
      <c r="C286" s="420"/>
      <c r="D286" s="420" t="s">
        <v>744</v>
      </c>
      <c r="E286" s="420"/>
      <c r="F286" s="422"/>
      <c r="G286" s="423" t="e">
        <f>+#REF!/#REF!*100</f>
        <v>#REF!</v>
      </c>
      <c r="H286" s="421">
        <v>293.75</v>
      </c>
      <c r="I286" s="420"/>
    </row>
    <row r="287" spans="1:9" ht="15" hidden="1" customHeight="1">
      <c r="A287" s="420"/>
      <c r="B287" s="393"/>
      <c r="C287" s="420"/>
      <c r="D287" s="420" t="s">
        <v>745</v>
      </c>
      <c r="E287" s="420"/>
      <c r="F287" s="422"/>
      <c r="G287" s="423" t="e">
        <f>+#REF!/#REF!*100</f>
        <v>#REF!</v>
      </c>
      <c r="H287" s="421">
        <v>293.75</v>
      </c>
      <c r="I287" s="420"/>
    </row>
    <row r="288" spans="1:9" ht="15" hidden="1" customHeight="1">
      <c r="A288" s="420"/>
      <c r="B288" s="393"/>
      <c r="C288" s="420"/>
      <c r="D288" s="420" t="s">
        <v>746</v>
      </c>
      <c r="E288" s="420"/>
      <c r="F288" s="422"/>
      <c r="G288" s="423" t="e">
        <f>+#REF!/#REF!*100</f>
        <v>#REF!</v>
      </c>
      <c r="H288" s="421">
        <v>293.75</v>
      </c>
      <c r="I288" s="420"/>
    </row>
    <row r="289" spans="1:9" ht="0.75" hidden="1" customHeight="1">
      <c r="A289" s="420"/>
      <c r="B289" s="393"/>
      <c r="C289" s="420"/>
      <c r="D289" s="420" t="s">
        <v>747</v>
      </c>
      <c r="E289" s="420"/>
      <c r="F289" s="422"/>
      <c r="G289" s="423" t="e">
        <f>+#REF!/#REF!*100</f>
        <v>#REF!</v>
      </c>
      <c r="H289" s="421">
        <v>297.17</v>
      </c>
      <c r="I289" s="420" t="s">
        <v>3</v>
      </c>
    </row>
    <row r="290" spans="1:9" ht="0.75" hidden="1" customHeight="1">
      <c r="A290" s="420"/>
      <c r="B290" s="393"/>
      <c r="C290" s="420"/>
      <c r="D290" s="420" t="s">
        <v>748</v>
      </c>
      <c r="E290" s="420"/>
      <c r="F290" s="422"/>
      <c r="G290" s="423" t="e">
        <f>+#REF!/#REF!*100</f>
        <v>#REF!</v>
      </c>
      <c r="H290" s="421">
        <v>297.17</v>
      </c>
      <c r="I290" s="420" t="s">
        <v>3</v>
      </c>
    </row>
    <row r="291" spans="1:9" ht="1.5" hidden="1" customHeight="1">
      <c r="A291" s="420"/>
      <c r="B291" s="393"/>
      <c r="C291" s="420"/>
      <c r="D291" s="420" t="s">
        <v>749</v>
      </c>
      <c r="E291" s="420"/>
      <c r="F291" s="422"/>
      <c r="G291" s="423" t="e">
        <f>+#REF!/#REF!*100</f>
        <v>#REF!</v>
      </c>
      <c r="H291" s="421">
        <v>296.37</v>
      </c>
      <c r="I291" s="420" t="s">
        <v>3</v>
      </c>
    </row>
    <row r="292" spans="1:9" ht="1.5" hidden="1" customHeight="1">
      <c r="A292" s="185"/>
      <c r="B292" s="179"/>
      <c r="C292" s="185"/>
      <c r="D292" s="185"/>
      <c r="E292" s="185"/>
      <c r="F292" s="186"/>
      <c r="G292" s="187"/>
      <c r="H292" s="424"/>
      <c r="I292" s="185"/>
    </row>
    <row r="293" spans="1:9" ht="1.5" hidden="1" customHeight="1">
      <c r="A293" s="185"/>
      <c r="B293" s="179"/>
      <c r="C293" s="185"/>
      <c r="D293" s="185"/>
      <c r="E293" s="185"/>
      <c r="F293" s="186"/>
      <c r="G293" s="187"/>
      <c r="H293" s="424"/>
      <c r="I293" s="185"/>
    </row>
    <row r="294" spans="1:9" ht="1.5" hidden="1" customHeight="1">
      <c r="A294" s="185"/>
      <c r="B294" s="179"/>
      <c r="C294" s="185"/>
      <c r="D294" s="185"/>
      <c r="E294" s="185"/>
      <c r="F294" s="186"/>
      <c r="G294" s="187"/>
      <c r="H294" s="424"/>
      <c r="I294" s="185"/>
    </row>
    <row r="295" spans="1:9" ht="1.5" hidden="1" customHeight="1">
      <c r="A295" s="185"/>
      <c r="B295" s="179"/>
      <c r="C295" s="185"/>
      <c r="D295" s="185"/>
      <c r="E295" s="185"/>
      <c r="F295" s="186"/>
      <c r="G295" s="187"/>
      <c r="H295" s="424"/>
      <c r="I295" s="185"/>
    </row>
    <row r="296" spans="1:9" hidden="1">
      <c r="A296" s="185"/>
      <c r="B296" s="179"/>
      <c r="C296" s="185"/>
      <c r="D296" s="185" t="s">
        <v>750</v>
      </c>
      <c r="E296" s="185"/>
      <c r="F296" s="186"/>
      <c r="G296" s="187" t="e">
        <f>+#REF!/#REF!*100</f>
        <v>#REF!</v>
      </c>
      <c r="H296" s="424">
        <v>371.03</v>
      </c>
      <c r="I296" s="185" t="s">
        <v>3</v>
      </c>
    </row>
    <row r="297" spans="1:9" hidden="1">
      <c r="A297" s="185"/>
      <c r="B297" s="179"/>
      <c r="C297" s="185"/>
      <c r="D297" s="185" t="s">
        <v>751</v>
      </c>
      <c r="E297" s="185"/>
      <c r="F297" s="186"/>
      <c r="G297" s="187" t="e">
        <f>+#REF!/#REF!*100</f>
        <v>#REF!</v>
      </c>
      <c r="H297" s="424">
        <v>370.95</v>
      </c>
      <c r="I297" s="185" t="s">
        <v>3</v>
      </c>
    </row>
    <row r="298" spans="1:9" hidden="1">
      <c r="A298" s="185"/>
      <c r="B298" s="179"/>
      <c r="C298" s="185"/>
      <c r="D298" s="185" t="s">
        <v>752</v>
      </c>
      <c r="E298" s="185"/>
      <c r="F298" s="186"/>
      <c r="G298" s="187" t="e">
        <f>+#REF!/#REF!*100</f>
        <v>#REF!</v>
      </c>
      <c r="H298" s="424">
        <v>370.95</v>
      </c>
      <c r="I298" s="185" t="s">
        <v>3</v>
      </c>
    </row>
    <row r="299" spans="1:9" hidden="1">
      <c r="A299" s="185"/>
      <c r="B299" s="179"/>
      <c r="C299" s="185"/>
      <c r="D299" s="185" t="s">
        <v>753</v>
      </c>
      <c r="E299" s="185"/>
      <c r="F299" s="186"/>
      <c r="G299" s="187" t="e">
        <f>+#REF!/#REF!*100</f>
        <v>#REF!</v>
      </c>
      <c r="H299" s="424">
        <v>370.95</v>
      </c>
      <c r="I299" s="185" t="s">
        <v>3</v>
      </c>
    </row>
    <row r="300" spans="1:9" hidden="1">
      <c r="A300" s="185"/>
      <c r="B300" s="179"/>
      <c r="C300" s="185"/>
      <c r="D300" s="185" t="s">
        <v>754</v>
      </c>
      <c r="E300" s="185"/>
      <c r="F300" s="186"/>
      <c r="G300" s="187" t="e">
        <f>+#REF!/#REF!*100</f>
        <v>#REF!</v>
      </c>
      <c r="H300" s="424">
        <v>370.95</v>
      </c>
      <c r="I300" s="185" t="s">
        <v>3</v>
      </c>
    </row>
    <row r="301" spans="1:9" hidden="1">
      <c r="A301" s="185"/>
      <c r="B301" s="179"/>
      <c r="C301" s="185"/>
      <c r="D301" s="185" t="s">
        <v>755</v>
      </c>
      <c r="E301" s="185"/>
      <c r="F301" s="186"/>
      <c r="G301" s="187" t="e">
        <f>+#REF!/#REF!*100</f>
        <v>#REF!</v>
      </c>
      <c r="H301" s="424">
        <v>370.95</v>
      </c>
      <c r="I301" s="185"/>
    </row>
    <row r="302" spans="1:9" hidden="1">
      <c r="A302" s="185"/>
      <c r="B302" s="179"/>
      <c r="C302" s="185"/>
      <c r="D302" s="185" t="s">
        <v>756</v>
      </c>
      <c r="E302" s="185"/>
      <c r="F302" s="186"/>
      <c r="G302" s="187" t="e">
        <f>+#REF!/#REF!*100</f>
        <v>#REF!</v>
      </c>
      <c r="H302" s="424">
        <v>370.95</v>
      </c>
      <c r="I302" s="185"/>
    </row>
    <row r="303" spans="1:9" hidden="1">
      <c r="A303" s="185"/>
      <c r="B303" s="179"/>
      <c r="C303" s="185"/>
      <c r="D303" s="185" t="s">
        <v>757</v>
      </c>
      <c r="E303" s="185"/>
      <c r="F303" s="186"/>
      <c r="G303" s="187" t="e">
        <f>+#REF!/#REF!*100</f>
        <v>#REF!</v>
      </c>
      <c r="H303" s="424">
        <v>370.95</v>
      </c>
      <c r="I303" s="185"/>
    </row>
    <row r="304" spans="1:9" hidden="1">
      <c r="A304" s="185"/>
      <c r="B304" s="179"/>
      <c r="C304" s="185"/>
      <c r="D304" s="185" t="s">
        <v>758</v>
      </c>
      <c r="E304" s="185"/>
      <c r="F304" s="186"/>
      <c r="G304" s="187" t="e">
        <f>+#REF!/#REF!*100</f>
        <v>#REF!</v>
      </c>
      <c r="H304" s="424">
        <v>375.15</v>
      </c>
      <c r="I304" s="185" t="s">
        <v>3</v>
      </c>
    </row>
    <row r="305" spans="1:9" hidden="1">
      <c r="A305" s="185"/>
      <c r="B305" s="179"/>
      <c r="C305" s="185"/>
      <c r="D305" s="185" t="s">
        <v>759</v>
      </c>
      <c r="E305" s="185"/>
      <c r="F305" s="186"/>
      <c r="G305" s="187" t="e">
        <f>+#REF!/#REF!*100</f>
        <v>#REF!</v>
      </c>
      <c r="H305" s="424">
        <v>375.15</v>
      </c>
      <c r="I305" s="185" t="s">
        <v>3</v>
      </c>
    </row>
    <row r="306" spans="1:9" hidden="1">
      <c r="A306" s="185"/>
      <c r="B306" s="179"/>
      <c r="C306" s="185"/>
      <c r="D306" s="185" t="s">
        <v>760</v>
      </c>
      <c r="E306" s="185"/>
      <c r="F306" s="186"/>
      <c r="G306" s="187" t="e">
        <f>+#REF!/#REF!*100</f>
        <v>#REF!</v>
      </c>
      <c r="H306" s="424">
        <v>375.15</v>
      </c>
      <c r="I306" s="185" t="s">
        <v>3</v>
      </c>
    </row>
    <row r="307" spans="1:9" hidden="1">
      <c r="A307" s="185"/>
      <c r="B307" s="179"/>
      <c r="C307" s="185"/>
      <c r="D307" s="185" t="s">
        <v>761</v>
      </c>
      <c r="E307" s="185"/>
      <c r="F307" s="186"/>
      <c r="G307" s="187" t="e">
        <f>+#REF!/#REF!*100</f>
        <v>#REF!</v>
      </c>
      <c r="H307" s="424">
        <v>371.76</v>
      </c>
      <c r="I307" s="185" t="s">
        <v>3</v>
      </c>
    </row>
    <row r="308" spans="1:9" hidden="1">
      <c r="A308" s="185"/>
      <c r="B308" s="179"/>
      <c r="C308" s="185"/>
      <c r="D308" s="185" t="s">
        <v>762</v>
      </c>
      <c r="E308" s="185"/>
      <c r="F308" s="186"/>
      <c r="G308" s="187" t="e">
        <f>+#REF!/#REF!*100</f>
        <v>#REF!</v>
      </c>
      <c r="H308" s="424">
        <v>371.72</v>
      </c>
      <c r="I308" s="185" t="s">
        <v>3</v>
      </c>
    </row>
    <row r="309" spans="1:9" hidden="1">
      <c r="A309" s="185"/>
      <c r="B309" s="179"/>
      <c r="C309" s="185"/>
      <c r="D309" s="185" t="s">
        <v>763</v>
      </c>
      <c r="E309" s="185"/>
      <c r="F309" s="186"/>
      <c r="G309" s="187" t="e">
        <f>+#REF!/#REF!*100</f>
        <v>#REF!</v>
      </c>
      <c r="H309" s="424">
        <v>371.72</v>
      </c>
      <c r="I309" s="185" t="s">
        <v>3</v>
      </c>
    </row>
    <row r="310" spans="1:9" hidden="1">
      <c r="A310" s="185"/>
      <c r="B310" s="179"/>
      <c r="C310" s="185"/>
      <c r="D310" s="185" t="s">
        <v>764</v>
      </c>
      <c r="E310" s="185"/>
      <c r="F310" s="186"/>
      <c r="G310" s="187" t="e">
        <f>+#REF!/#REF!*100</f>
        <v>#REF!</v>
      </c>
      <c r="H310" s="424">
        <v>371.72</v>
      </c>
      <c r="I310" s="185" t="s">
        <v>3</v>
      </c>
    </row>
    <row r="311" spans="1:9" hidden="1">
      <c r="A311" s="185"/>
      <c r="B311" s="179"/>
      <c r="C311" s="185"/>
      <c r="D311" s="185" t="s">
        <v>765</v>
      </c>
      <c r="E311" s="185"/>
      <c r="F311" s="186"/>
      <c r="G311" s="187" t="e">
        <f>+#REF!/#REF!*100</f>
        <v>#REF!</v>
      </c>
      <c r="H311" s="424">
        <v>371.72</v>
      </c>
      <c r="I311" s="185" t="s">
        <v>3</v>
      </c>
    </row>
    <row r="312" spans="1:9" hidden="1">
      <c r="A312" s="185"/>
      <c r="B312" s="179"/>
      <c r="C312" s="185"/>
      <c r="D312" s="185" t="s">
        <v>766</v>
      </c>
      <c r="E312" s="185"/>
      <c r="F312" s="186"/>
      <c r="G312" s="187" t="e">
        <f>+#REF!/#REF!*100</f>
        <v>#REF!</v>
      </c>
      <c r="H312" s="424">
        <v>359.76588789038419</v>
      </c>
      <c r="I312" s="185" t="s">
        <v>3</v>
      </c>
    </row>
    <row r="313" spans="1:9" hidden="1">
      <c r="A313" s="185"/>
      <c r="B313" s="179"/>
      <c r="C313" s="185"/>
      <c r="D313" s="185" t="s">
        <v>767</v>
      </c>
      <c r="E313" s="185"/>
      <c r="F313" s="186"/>
      <c r="G313" s="187" t="e">
        <f>+#REF!/#REF!*100</f>
        <v>#REF!</v>
      </c>
      <c r="H313" s="424">
        <v>359.38703902061826</v>
      </c>
      <c r="I313" s="185"/>
    </row>
    <row r="314" spans="1:9" hidden="1">
      <c r="A314" s="185"/>
      <c r="B314" s="179"/>
      <c r="C314" s="185"/>
      <c r="D314" s="185" t="s">
        <v>768</v>
      </c>
      <c r="E314" s="185"/>
      <c r="F314" s="186"/>
      <c r="G314" s="187" t="e">
        <f>+#REF!/#REF!*100</f>
        <v>#REF!</v>
      </c>
      <c r="H314" s="424">
        <v>359.19784179071047</v>
      </c>
      <c r="I314" s="185" t="s">
        <v>3</v>
      </c>
    </row>
    <row r="315" spans="1:9" hidden="1">
      <c r="A315" s="185"/>
      <c r="B315" s="179"/>
      <c r="C315" s="185"/>
      <c r="D315" s="185" t="s">
        <v>769</v>
      </c>
      <c r="E315" s="185"/>
      <c r="F315" s="186"/>
      <c r="G315" s="187" t="e">
        <f>+#REF!/#REF!*100</f>
        <v>#REF!</v>
      </c>
      <c r="H315" s="424">
        <v>408.88590236423516</v>
      </c>
      <c r="I315" s="185" t="s">
        <v>3</v>
      </c>
    </row>
    <row r="316" spans="1:9" hidden="1">
      <c r="A316" s="185"/>
      <c r="B316" s="179"/>
      <c r="C316" s="185"/>
      <c r="D316" s="185" t="s">
        <v>770</v>
      </c>
      <c r="E316" s="185"/>
      <c r="F316" s="186"/>
      <c r="G316" s="187" t="e">
        <f>+#REF!/#REF!*100</f>
        <v>#REF!</v>
      </c>
      <c r="H316" s="424">
        <v>408.62</v>
      </c>
      <c r="I316" s="185" t="s">
        <v>3</v>
      </c>
    </row>
    <row r="317" spans="1:9" hidden="1">
      <c r="A317" s="185" t="s">
        <v>3</v>
      </c>
      <c r="B317" s="179"/>
      <c r="C317" s="185"/>
      <c r="D317" s="185" t="s">
        <v>771</v>
      </c>
      <c r="E317" s="185"/>
      <c r="F317" s="186"/>
      <c r="G317" s="187" t="e">
        <f>+#REF!/#REF!*100</f>
        <v>#REF!</v>
      </c>
      <c r="H317" s="424">
        <v>408.38</v>
      </c>
      <c r="I317" s="185" t="s">
        <v>3</v>
      </c>
    </row>
    <row r="318" spans="1:9" hidden="1">
      <c r="A318" s="185"/>
      <c r="B318" s="179"/>
      <c r="C318" s="185"/>
      <c r="D318" s="185" t="s">
        <v>772</v>
      </c>
      <c r="E318" s="185"/>
      <c r="F318" s="186"/>
      <c r="G318" s="187" t="e">
        <f>+#REF!/#REF!*100</f>
        <v>#REF!</v>
      </c>
      <c r="H318" s="424">
        <v>527.41999999999996</v>
      </c>
      <c r="I318" s="185" t="s">
        <v>3</v>
      </c>
    </row>
    <row r="319" spans="1:9" hidden="1">
      <c r="A319" s="185"/>
      <c r="B319" s="179"/>
      <c r="C319" s="185"/>
      <c r="D319" s="185" t="s">
        <v>773</v>
      </c>
      <c r="E319" s="185"/>
      <c r="F319" s="186"/>
      <c r="G319" s="187" t="e">
        <f>+#REF!/#REF!*100</f>
        <v>#REF!</v>
      </c>
      <c r="H319" s="424">
        <v>527.16</v>
      </c>
      <c r="I319" s="185" t="s">
        <v>3</v>
      </c>
    </row>
    <row r="320" spans="1:9" hidden="1">
      <c r="A320" s="185"/>
      <c r="B320" s="179"/>
      <c r="C320" s="185"/>
      <c r="D320" s="185" t="s">
        <v>774</v>
      </c>
      <c r="E320" s="185"/>
      <c r="F320" s="186"/>
      <c r="G320" s="187" t="e">
        <f>+#REF!/#REF!*100</f>
        <v>#REF!</v>
      </c>
      <c r="H320" s="424">
        <v>526.98</v>
      </c>
      <c r="I320" s="185"/>
    </row>
    <row r="321" spans="1:9" ht="3" hidden="1" customHeight="1">
      <c r="A321" s="185"/>
      <c r="B321" s="179"/>
      <c r="C321" s="185"/>
      <c r="D321" s="185" t="s">
        <v>775</v>
      </c>
      <c r="E321" s="185"/>
      <c r="F321" s="186"/>
      <c r="G321" s="187" t="e">
        <f>+#REF!/#REF!*100</f>
        <v>#REF!</v>
      </c>
      <c r="H321" s="424">
        <v>533.04999999999995</v>
      </c>
      <c r="I321" s="185"/>
    </row>
    <row r="322" spans="1:9" hidden="1">
      <c r="B322" s="179"/>
      <c r="C322" s="185"/>
      <c r="D322" s="185" t="s">
        <v>776</v>
      </c>
      <c r="E322" s="185"/>
      <c r="F322" s="186"/>
      <c r="G322" s="187" t="e">
        <f>+#REF!/#REF!*100</f>
        <v>#REF!</v>
      </c>
      <c r="H322" s="424">
        <v>527.04999999999995</v>
      </c>
      <c r="I322" s="185">
        <v>137447.54</v>
      </c>
    </row>
    <row r="323" spans="1:9" hidden="1">
      <c r="B323" s="179"/>
      <c r="C323" s="185"/>
      <c r="D323" s="185" t="s">
        <v>777</v>
      </c>
      <c r="E323" s="185"/>
      <c r="F323" s="186"/>
      <c r="G323" s="187" t="e">
        <f>+#REF!/#REF!*100</f>
        <v>#REF!</v>
      </c>
      <c r="H323" s="424">
        <v>527.04999999999995</v>
      </c>
      <c r="I323" s="185">
        <v>137537.24</v>
      </c>
    </row>
    <row r="324" spans="1:9" hidden="1">
      <c r="B324" s="179"/>
      <c r="C324" s="185"/>
      <c r="D324" s="185" t="s">
        <v>778</v>
      </c>
      <c r="E324" s="185"/>
      <c r="F324" s="186"/>
      <c r="G324" s="187" t="e">
        <f>+#REF!/#REF!*100</f>
        <v>#REF!</v>
      </c>
      <c r="H324" s="424">
        <v>527.04999999999995</v>
      </c>
      <c r="I324" s="185">
        <f>137537.24/137447.54</f>
        <v>1.0006526126258788</v>
      </c>
    </row>
    <row r="325" spans="1:9" hidden="1">
      <c r="B325" s="179"/>
      <c r="C325" s="185"/>
      <c r="D325" s="185" t="s">
        <v>779</v>
      </c>
      <c r="E325" s="185"/>
      <c r="F325" s="186"/>
      <c r="G325" s="187" t="e">
        <f>+#REF!/#REF!*100</f>
        <v>#REF!</v>
      </c>
      <c r="H325" s="424">
        <v>527.04999999999995</v>
      </c>
      <c r="I325" s="185">
        <f>1.000652613*26114.28</f>
        <v>26131.322518613637</v>
      </c>
    </row>
    <row r="326" spans="1:9" hidden="1">
      <c r="B326" s="179"/>
      <c r="C326" s="185"/>
      <c r="D326" s="185" t="s">
        <v>780</v>
      </c>
      <c r="E326" s="185"/>
      <c r="F326" s="186"/>
      <c r="G326" s="187" t="e">
        <f>+#REF!/#REF!*100</f>
        <v>#REF!</v>
      </c>
      <c r="H326" s="424">
        <v>527.04999999999995</v>
      </c>
      <c r="I326" s="185">
        <f>26131.32-26114.28</f>
        <v>17.040000000000873</v>
      </c>
    </row>
    <row r="327" spans="1:9" hidden="1">
      <c r="B327" s="179"/>
      <c r="C327" s="185"/>
      <c r="D327" s="185" t="s">
        <v>781</v>
      </c>
      <c r="E327" s="185"/>
      <c r="F327" s="186"/>
      <c r="G327" s="187" t="e">
        <f>+#REF!/#REF!*100</f>
        <v>#REF!</v>
      </c>
      <c r="H327" s="424">
        <v>527.04999999999995</v>
      </c>
      <c r="I327" s="185" t="s">
        <v>3</v>
      </c>
    </row>
    <row r="328" spans="1:9" hidden="1">
      <c r="B328" s="179"/>
      <c r="C328" s="185"/>
      <c r="D328" s="185" t="s">
        <v>782</v>
      </c>
      <c r="E328" s="185"/>
      <c r="F328" s="186"/>
      <c r="G328" s="187" t="e">
        <f>+#REF!/#REF!*100</f>
        <v>#REF!</v>
      </c>
      <c r="H328" s="424">
        <v>527.04999999999995</v>
      </c>
      <c r="I328" s="185"/>
    </row>
    <row r="329" spans="1:9" hidden="1">
      <c r="B329" s="179"/>
      <c r="C329" s="185"/>
      <c r="D329" s="185" t="s">
        <v>783</v>
      </c>
      <c r="E329" s="185"/>
      <c r="F329" s="186"/>
      <c r="G329" s="187" t="e">
        <f>+#REF!/#REF!*100</f>
        <v>#REF!</v>
      </c>
      <c r="H329" s="424">
        <v>527.04999999999995</v>
      </c>
      <c r="I329" s="185"/>
    </row>
    <row r="330" spans="1:9" hidden="1">
      <c r="B330" s="179"/>
      <c r="C330" s="185"/>
      <c r="D330" s="185" t="s">
        <v>784</v>
      </c>
      <c r="E330" s="185"/>
      <c r="F330" s="186"/>
      <c r="G330" s="187" t="e">
        <f>+#REF!/#REF!*100</f>
        <v>#REF!</v>
      </c>
      <c r="H330" s="424">
        <v>527.04999999999995</v>
      </c>
      <c r="I330" s="185"/>
    </row>
    <row r="331" spans="1:9" hidden="1">
      <c r="B331" s="179"/>
      <c r="C331" s="185"/>
      <c r="D331" s="185" t="s">
        <v>785</v>
      </c>
      <c r="E331" s="185"/>
      <c r="F331" s="186"/>
      <c r="G331" s="187" t="e">
        <f>+#REF!/#REF!*100</f>
        <v>#REF!</v>
      </c>
      <c r="H331" s="424">
        <v>525.08000000000004</v>
      </c>
      <c r="I331" s="185"/>
    </row>
    <row r="332" spans="1:9" hidden="1">
      <c r="B332" s="179"/>
      <c r="C332" s="185"/>
      <c r="D332" s="185" t="s">
        <v>786</v>
      </c>
      <c r="E332" s="185"/>
      <c r="F332" s="186"/>
      <c r="G332" s="187" t="e">
        <f>+#REF!/#REF!*100</f>
        <v>#REF!</v>
      </c>
      <c r="H332" s="424">
        <v>496.64</v>
      </c>
      <c r="I332" s="185"/>
    </row>
    <row r="333" spans="1:9" hidden="1">
      <c r="B333" s="179"/>
      <c r="C333" s="185"/>
      <c r="D333" s="185" t="s">
        <v>787</v>
      </c>
      <c r="E333" s="185"/>
      <c r="F333" s="186"/>
      <c r="G333" s="187" t="e">
        <f>+#REF!/#REF!*100</f>
        <v>#REF!</v>
      </c>
      <c r="H333" s="424">
        <v>496.64</v>
      </c>
      <c r="I333" s="185"/>
    </row>
    <row r="334" spans="1:9" hidden="1">
      <c r="B334" s="179"/>
      <c r="C334" s="185"/>
      <c r="D334" s="185" t="s">
        <v>788</v>
      </c>
      <c r="E334" s="185"/>
      <c r="F334" s="186"/>
      <c r="G334" s="187" t="e">
        <f>+#REF!/#REF!*100</f>
        <v>#REF!</v>
      </c>
      <c r="H334" s="424">
        <v>496.64</v>
      </c>
      <c r="I334" s="185"/>
    </row>
    <row r="335" spans="1:9" hidden="1">
      <c r="B335" s="179"/>
      <c r="C335" s="185"/>
      <c r="D335" s="185" t="s">
        <v>789</v>
      </c>
      <c r="E335" s="185"/>
      <c r="F335" s="186"/>
      <c r="G335" s="187" t="e">
        <f>+#REF!/#REF!*100</f>
        <v>#REF!</v>
      </c>
      <c r="H335" s="424">
        <v>498.98</v>
      </c>
      <c r="I335" s="185" t="s">
        <v>3</v>
      </c>
    </row>
    <row r="336" spans="1:9" hidden="1">
      <c r="B336" s="179"/>
      <c r="C336" s="185"/>
      <c r="D336" s="185" t="s">
        <v>790</v>
      </c>
      <c r="E336" s="185"/>
      <c r="F336" s="186"/>
      <c r="G336" s="187" t="e">
        <f>+#REF!/#REF!*100</f>
        <v>#REF!</v>
      </c>
      <c r="H336" s="424">
        <v>495.02970712351487</v>
      </c>
      <c r="I336" s="185" t="s">
        <v>3</v>
      </c>
    </row>
    <row r="337" spans="2:9" hidden="1">
      <c r="B337" s="179"/>
      <c r="C337" s="185"/>
      <c r="D337" s="185"/>
      <c r="E337" s="185"/>
      <c r="F337" s="186"/>
      <c r="G337" s="187"/>
      <c r="H337" s="424"/>
      <c r="I337" s="185" t="s">
        <v>3</v>
      </c>
    </row>
    <row r="338" spans="2:9" hidden="1">
      <c r="B338" s="179"/>
      <c r="C338" s="185"/>
      <c r="D338" s="185"/>
      <c r="E338" s="185"/>
      <c r="F338" s="186"/>
      <c r="G338" s="187"/>
      <c r="H338" s="424"/>
      <c r="I338" s="185" t="s">
        <v>3</v>
      </c>
    </row>
    <row r="339" spans="2:9" hidden="1">
      <c r="B339" s="179"/>
      <c r="C339" s="185"/>
      <c r="D339" s="185"/>
      <c r="E339" s="185"/>
      <c r="F339" s="186"/>
      <c r="G339" s="187"/>
      <c r="H339" s="424"/>
      <c r="I339" s="185" t="s">
        <v>3</v>
      </c>
    </row>
    <row r="340" spans="2:9" hidden="1">
      <c r="B340" s="179"/>
      <c r="C340" s="185"/>
      <c r="D340" s="185"/>
      <c r="E340" s="185"/>
      <c r="F340" s="186"/>
      <c r="G340" s="187"/>
      <c r="H340" s="424"/>
      <c r="I340" s="185"/>
    </row>
    <row r="341" spans="2:9" hidden="1">
      <c r="B341" s="179"/>
      <c r="C341" s="185"/>
      <c r="D341" s="185" t="s">
        <v>791</v>
      </c>
      <c r="E341" s="185"/>
      <c r="F341" s="186"/>
      <c r="G341" s="187" t="e">
        <f>+#REF!/#REF!*100</f>
        <v>#REF!</v>
      </c>
      <c r="H341" s="424">
        <v>488.87018382249607</v>
      </c>
      <c r="I341" s="185" t="s">
        <v>3</v>
      </c>
    </row>
    <row r="342" spans="2:9" hidden="1">
      <c r="B342" s="179"/>
      <c r="C342" s="185"/>
      <c r="D342" s="185" t="s">
        <v>792</v>
      </c>
      <c r="E342" s="185"/>
      <c r="F342" s="186"/>
      <c r="G342" s="187" t="e">
        <f>+#REF!/#REF!*100</f>
        <v>#REF!</v>
      </c>
      <c r="H342" s="424">
        <v>488.62001921010085</v>
      </c>
      <c r="I342" s="185" t="s">
        <v>3</v>
      </c>
    </row>
    <row r="343" spans="2:9" hidden="1">
      <c r="B343" s="179"/>
      <c r="C343" s="185"/>
      <c r="D343" s="185" t="s">
        <v>793</v>
      </c>
      <c r="E343" s="185"/>
      <c r="F343" s="186"/>
      <c r="G343" s="187" t="e">
        <f>+#REF!/#REF!*100</f>
        <v>#REF!</v>
      </c>
      <c r="H343" s="424">
        <v>488.57645888419796</v>
      </c>
      <c r="I343" s="185" t="s">
        <v>3</v>
      </c>
    </row>
    <row r="344" spans="2:9" ht="1.5" hidden="1" customHeight="1">
      <c r="B344" s="179"/>
      <c r="C344" s="185"/>
      <c r="D344" s="185" t="s">
        <v>794</v>
      </c>
      <c r="E344" s="185"/>
      <c r="F344" s="186"/>
      <c r="G344" s="187" t="e">
        <f>+#REF!/#REF!*100</f>
        <v>#REF!</v>
      </c>
      <c r="H344" s="424">
        <v>488.22</v>
      </c>
      <c r="I344" s="185" t="s">
        <v>3</v>
      </c>
    </row>
    <row r="345" spans="2:9" ht="18.75" hidden="1" customHeight="1">
      <c r="B345" s="179"/>
      <c r="C345" s="185"/>
      <c r="D345" s="185" t="s">
        <v>795</v>
      </c>
      <c r="E345" s="185"/>
      <c r="F345" s="186"/>
      <c r="G345" s="187" t="e">
        <f>+#REF!/#REF!*100</f>
        <v>#REF!</v>
      </c>
      <c r="H345" s="424">
        <v>488.22</v>
      </c>
      <c r="I345" s="185"/>
    </row>
    <row r="346" spans="2:9" ht="1.5" hidden="1" customHeight="1">
      <c r="B346" s="179"/>
      <c r="C346" s="185"/>
      <c r="D346" s="185" t="s">
        <v>796</v>
      </c>
      <c r="E346" s="185"/>
      <c r="F346" s="186"/>
      <c r="G346" s="187" t="e">
        <f>+#REF!/#REF!*100</f>
        <v>#REF!</v>
      </c>
      <c r="H346" s="424">
        <v>522.23</v>
      </c>
      <c r="I346" s="185" t="s">
        <v>3</v>
      </c>
    </row>
    <row r="347" spans="2:9" ht="18.75" hidden="1" customHeight="1">
      <c r="B347" s="179"/>
      <c r="C347" s="185"/>
      <c r="D347" s="185" t="s">
        <v>797</v>
      </c>
      <c r="E347" s="185"/>
      <c r="F347" s="186"/>
      <c r="G347" s="187" t="e">
        <f>+#REF!/#REF!*100</f>
        <v>#REF!</v>
      </c>
      <c r="H347" s="424">
        <v>522.23</v>
      </c>
      <c r="I347" s="185" t="s">
        <v>3</v>
      </c>
    </row>
    <row r="348" spans="2:9" ht="18.75" hidden="1" customHeight="1">
      <c r="B348" s="179"/>
      <c r="C348" s="185"/>
      <c r="D348" s="185" t="s">
        <v>798</v>
      </c>
      <c r="E348" s="185"/>
      <c r="F348" s="186"/>
      <c r="G348" s="187" t="e">
        <f>+#REF!/#REF!*100</f>
        <v>#REF!</v>
      </c>
      <c r="H348" s="424">
        <v>522.23</v>
      </c>
      <c r="I348" s="185" t="s">
        <v>3</v>
      </c>
    </row>
    <row r="349" spans="2:9" ht="18.75" hidden="1" customHeight="1">
      <c r="B349" s="179"/>
      <c r="C349" s="185"/>
      <c r="D349" s="185" t="s">
        <v>799</v>
      </c>
      <c r="E349" s="185"/>
      <c r="F349" s="186"/>
      <c r="G349" s="187" t="e">
        <f>+#REF!/#REF!*100</f>
        <v>#REF!</v>
      </c>
      <c r="H349" s="424">
        <v>564.51</v>
      </c>
      <c r="I349" s="185" t="s">
        <v>3</v>
      </c>
    </row>
    <row r="350" spans="2:9" ht="16.5" hidden="1" customHeight="1">
      <c r="B350" s="179"/>
      <c r="C350" s="185"/>
      <c r="D350" s="185" t="s">
        <v>800</v>
      </c>
      <c r="E350" s="185"/>
      <c r="F350" s="186"/>
      <c r="G350" s="187" t="e">
        <f>+#REF!/#REF!*100</f>
        <v>#REF!</v>
      </c>
      <c r="H350" s="424">
        <v>591.65</v>
      </c>
      <c r="I350" s="185" t="s">
        <v>3</v>
      </c>
    </row>
    <row r="351" spans="2:9" ht="10.5" hidden="1" customHeight="1">
      <c r="B351" s="179"/>
      <c r="C351" s="185"/>
      <c r="D351" s="185" t="s">
        <v>801</v>
      </c>
      <c r="E351" s="185"/>
      <c r="F351" s="186"/>
      <c r="G351" s="187" t="e">
        <f>+#REF!/#REF!*100</f>
        <v>#REF!</v>
      </c>
      <c r="H351" s="424">
        <v>591.65</v>
      </c>
      <c r="I351" s="185" t="s">
        <v>3</v>
      </c>
    </row>
    <row r="352" spans="2:9" ht="12.75" hidden="1" customHeight="1">
      <c r="B352" s="179"/>
      <c r="C352" s="185"/>
      <c r="D352" s="185" t="s">
        <v>802</v>
      </c>
      <c r="E352" s="185"/>
      <c r="F352" s="186"/>
      <c r="G352" s="187" t="e">
        <f>+#REF!/#REF!*100</f>
        <v>#REF!</v>
      </c>
      <c r="H352" s="424">
        <v>611.08000000000004</v>
      </c>
      <c r="I352" s="185"/>
    </row>
    <row r="353" spans="2:9" ht="12.75" hidden="1" customHeight="1">
      <c r="B353" s="179"/>
      <c r="C353" s="185"/>
      <c r="D353" s="185"/>
      <c r="E353" s="185"/>
      <c r="F353" s="186"/>
      <c r="G353" s="187"/>
      <c r="H353" s="424"/>
      <c r="I353" s="185"/>
    </row>
    <row r="354" spans="2:9" hidden="1">
      <c r="B354" s="179"/>
      <c r="C354" s="185"/>
      <c r="D354" s="185" t="s">
        <v>803</v>
      </c>
      <c r="E354" s="185"/>
      <c r="F354" s="186"/>
      <c r="G354" s="187" t="e">
        <f>+#REF!/#REF!*100</f>
        <v>#REF!</v>
      </c>
      <c r="H354" s="424">
        <v>680.55</v>
      </c>
      <c r="I354" s="185" t="s">
        <v>3</v>
      </c>
    </row>
    <row r="355" spans="2:9" ht="19.5" hidden="1" customHeight="1">
      <c r="B355" s="179"/>
      <c r="C355" s="185"/>
      <c r="D355" s="185" t="s">
        <v>804</v>
      </c>
      <c r="E355" s="185"/>
      <c r="F355" s="186"/>
      <c r="G355" s="187" t="e">
        <f>+#REF!/#REF!*100</f>
        <v>#REF!</v>
      </c>
      <c r="H355" s="424">
        <v>705.05</v>
      </c>
      <c r="I355" s="185"/>
    </row>
    <row r="356" spans="2:9" ht="19.5" hidden="1" customHeight="1">
      <c r="B356" s="179"/>
      <c r="C356" s="185"/>
      <c r="D356" s="185" t="s">
        <v>805</v>
      </c>
      <c r="E356" s="185"/>
      <c r="F356" s="186"/>
      <c r="G356" s="187" t="e">
        <f>+#REF!/#REF!*100</f>
        <v>#REF!</v>
      </c>
      <c r="H356" s="424">
        <v>725.86</v>
      </c>
      <c r="I356" s="185" t="s">
        <v>3</v>
      </c>
    </row>
    <row r="357" spans="2:9" ht="19.5" hidden="1" customHeight="1">
      <c r="B357" s="179"/>
      <c r="C357" s="185"/>
      <c r="D357" s="185" t="s">
        <v>806</v>
      </c>
      <c r="E357" s="185"/>
      <c r="F357" s="186"/>
      <c r="G357" s="187" t="e">
        <f>+#REF!/#REF!*100</f>
        <v>#REF!</v>
      </c>
      <c r="H357" s="424">
        <v>817.5</v>
      </c>
      <c r="I357" s="185"/>
    </row>
    <row r="358" spans="2:9" ht="19.5" hidden="1" customHeight="1">
      <c r="B358" s="179"/>
      <c r="C358" s="185"/>
      <c r="D358" s="185" t="s">
        <v>807</v>
      </c>
      <c r="E358" s="185"/>
      <c r="F358" s="186"/>
      <c r="G358" s="187" t="e">
        <f>+#REF!/#REF!*100</f>
        <v>#REF!</v>
      </c>
      <c r="H358" s="424">
        <v>879.96</v>
      </c>
      <c r="I358" s="185" t="s">
        <v>3</v>
      </c>
    </row>
    <row r="359" spans="2:9" ht="19.5" hidden="1" customHeight="1">
      <c r="B359" s="179"/>
      <c r="C359" s="185"/>
      <c r="D359" s="185" t="s">
        <v>808</v>
      </c>
      <c r="E359" s="185"/>
      <c r="F359" s="186"/>
      <c r="G359" s="187" t="e">
        <f>+#REF!/#REF!*100</f>
        <v>#REF!</v>
      </c>
      <c r="H359" s="424">
        <v>879.96</v>
      </c>
      <c r="I359" s="185" t="s">
        <v>3</v>
      </c>
    </row>
    <row r="360" spans="2:9" ht="19.5" hidden="1" customHeight="1">
      <c r="B360" s="179"/>
      <c r="C360" s="185"/>
      <c r="D360" s="185" t="s">
        <v>809</v>
      </c>
      <c r="E360" s="185"/>
      <c r="F360" s="186"/>
      <c r="G360" s="187" t="e">
        <f>+#REF!/#REF!*100</f>
        <v>#REF!</v>
      </c>
      <c r="H360" s="424">
        <v>885.5</v>
      </c>
      <c r="I360" s="185" t="s">
        <v>3</v>
      </c>
    </row>
    <row r="361" spans="2:9" ht="19.5" hidden="1" customHeight="1">
      <c r="B361" s="179"/>
      <c r="C361" s="185"/>
      <c r="D361" s="185" t="s">
        <v>810</v>
      </c>
      <c r="E361" s="185"/>
      <c r="F361" s="186"/>
      <c r="G361" s="187" t="e">
        <f>+#REF!/#REF!*100</f>
        <v>#REF!</v>
      </c>
      <c r="H361" s="424">
        <v>858.06</v>
      </c>
      <c r="I361" s="185"/>
    </row>
    <row r="362" spans="2:9" ht="19.5" hidden="1" customHeight="1">
      <c r="B362" s="179"/>
      <c r="C362" s="185"/>
      <c r="D362" s="185" t="s">
        <v>811</v>
      </c>
      <c r="E362" s="185"/>
      <c r="F362" s="186"/>
      <c r="G362" s="187" t="e">
        <f>+#REF!/#REF!*100</f>
        <v>#REF!</v>
      </c>
      <c r="H362" s="424">
        <v>878.86</v>
      </c>
      <c r="I362" s="185"/>
    </row>
    <row r="363" spans="2:9" ht="19.5" hidden="1" customHeight="1">
      <c r="B363" s="179"/>
      <c r="C363" s="185"/>
      <c r="D363" s="185" t="s">
        <v>812</v>
      </c>
      <c r="E363" s="185"/>
      <c r="F363" s="186"/>
      <c r="G363" s="187" t="e">
        <f>+#REF!/#REF!*100</f>
        <v>#REF!</v>
      </c>
      <c r="H363" s="424">
        <v>878.86</v>
      </c>
      <c r="I363" s="185" t="s">
        <v>3</v>
      </c>
    </row>
    <row r="364" spans="2:9" ht="19.5" hidden="1" customHeight="1">
      <c r="B364" s="179"/>
      <c r="C364" s="185"/>
      <c r="D364" s="185" t="s">
        <v>813</v>
      </c>
      <c r="E364" s="185"/>
      <c r="F364" s="186"/>
      <c r="G364" s="187" t="e">
        <f>+#REF!/#REF!*100</f>
        <v>#REF!</v>
      </c>
      <c r="H364" s="424">
        <v>878.86</v>
      </c>
      <c r="I364" s="185" t="s">
        <v>3</v>
      </c>
    </row>
    <row r="365" spans="2:9" ht="19.5" hidden="1" customHeight="1">
      <c r="B365" s="179"/>
      <c r="C365" s="185"/>
      <c r="D365" s="185" t="s">
        <v>814</v>
      </c>
      <c r="E365" s="185"/>
      <c r="F365" s="186"/>
      <c r="G365" s="187" t="e">
        <f>+#REF!/#REF!*100</f>
        <v>#REF!</v>
      </c>
      <c r="H365" s="424">
        <v>878.86</v>
      </c>
      <c r="I365" s="185" t="s">
        <v>3</v>
      </c>
    </row>
    <row r="366" spans="2:9" ht="19.5" hidden="1" customHeight="1">
      <c r="B366" s="179"/>
      <c r="C366" s="185"/>
      <c r="D366" s="185" t="s">
        <v>815</v>
      </c>
      <c r="E366" s="185"/>
      <c r="F366" s="186"/>
      <c r="G366" s="187" t="e">
        <f>+#REF!/#REF!*100</f>
        <v>#REF!</v>
      </c>
      <c r="H366" s="424">
        <v>887.59</v>
      </c>
      <c r="I366" s="185" t="s">
        <v>3</v>
      </c>
    </row>
    <row r="367" spans="2:9" ht="19.5" hidden="1" customHeight="1">
      <c r="B367" s="179"/>
      <c r="C367" s="185"/>
      <c r="D367" s="185" t="s">
        <v>816</v>
      </c>
      <c r="E367" s="185"/>
      <c r="F367" s="186"/>
      <c r="G367" s="187" t="e">
        <f>+#REF!/#REF!*100</f>
        <v>#REF!</v>
      </c>
      <c r="H367" s="424">
        <v>974.41</v>
      </c>
      <c r="I367" s="185" t="s">
        <v>3</v>
      </c>
    </row>
    <row r="368" spans="2:9" ht="0.75" customHeight="1">
      <c r="B368" s="179"/>
      <c r="C368" s="185"/>
      <c r="D368" s="185"/>
      <c r="E368" s="185"/>
      <c r="F368" s="186"/>
      <c r="G368" s="187"/>
      <c r="H368" s="424"/>
      <c r="I368" s="185"/>
    </row>
    <row r="369" spans="1:9" ht="0.75" customHeight="1">
      <c r="B369" s="179"/>
      <c r="C369" s="185"/>
      <c r="D369" s="185"/>
      <c r="E369" s="185"/>
      <c r="F369" s="186"/>
      <c r="G369" s="187"/>
      <c r="H369" s="424"/>
      <c r="I369" s="185"/>
    </row>
    <row r="370" spans="1:9" ht="0.75" customHeight="1">
      <c r="B370" s="179"/>
      <c r="C370" s="185"/>
      <c r="D370" s="185"/>
      <c r="E370" s="185"/>
      <c r="F370" s="186"/>
      <c r="G370" s="187"/>
      <c r="H370" s="424"/>
      <c r="I370" s="185"/>
    </row>
    <row r="371" spans="1:9" ht="0.75" customHeight="1">
      <c r="B371" s="179"/>
      <c r="C371" s="185"/>
      <c r="D371" s="185"/>
      <c r="E371" s="185"/>
      <c r="F371" s="186"/>
      <c r="G371" s="187"/>
      <c r="H371" s="424"/>
      <c r="I371" s="185"/>
    </row>
    <row r="372" spans="1:9" ht="15" hidden="1" customHeight="1">
      <c r="B372" s="179"/>
      <c r="C372" s="185"/>
      <c r="D372" s="185" t="s">
        <v>817</v>
      </c>
      <c r="E372" s="185"/>
      <c r="F372" s="186"/>
      <c r="G372" s="187" t="e">
        <f>#REF!/#REF!*100</f>
        <v>#REF!</v>
      </c>
      <c r="H372" s="424">
        <v>832.14</v>
      </c>
      <c r="I372" s="185"/>
    </row>
    <row r="373" spans="1:9" ht="15" hidden="1" customHeight="1">
      <c r="B373" s="179"/>
      <c r="C373" s="185"/>
      <c r="D373" s="185" t="s">
        <v>818</v>
      </c>
      <c r="F373" s="186"/>
      <c r="G373" s="187" t="e">
        <f>#REF!/#REF!*100</f>
        <v>#REF!</v>
      </c>
      <c r="H373" s="424">
        <v>833.3</v>
      </c>
      <c r="I373" s="185"/>
    </row>
    <row r="374" spans="1:9" ht="19.5" hidden="1" customHeight="1">
      <c r="B374" s="179"/>
      <c r="C374" s="185"/>
      <c r="D374" s="185" t="s">
        <v>819</v>
      </c>
      <c r="E374" s="185"/>
      <c r="F374" s="186"/>
      <c r="G374" s="187" t="e">
        <f>+#REF!/#REF!*100</f>
        <v>#REF!</v>
      </c>
      <c r="H374" s="424">
        <v>734.66</v>
      </c>
      <c r="I374" s="185"/>
    </row>
    <row r="375" spans="1:9" ht="15.75" hidden="1" customHeight="1">
      <c r="B375" s="179"/>
      <c r="C375" s="185"/>
      <c r="D375" s="185" t="s">
        <v>818</v>
      </c>
      <c r="F375" s="186"/>
      <c r="G375" s="187" t="e">
        <f>#REF!</f>
        <v>#REF!</v>
      </c>
      <c r="H375" s="424">
        <v>727.63</v>
      </c>
      <c r="I375" s="185"/>
    </row>
    <row r="376" spans="1:9" ht="0.75" customHeight="1">
      <c r="B376" s="179"/>
      <c r="C376" s="185"/>
      <c r="D376" s="185" t="s">
        <v>820</v>
      </c>
      <c r="E376" s="185"/>
      <c r="F376" s="186"/>
      <c r="G376" s="187" t="e">
        <f>+#REF!/#REF!*100</f>
        <v>#REF!</v>
      </c>
      <c r="H376" s="424" t="s">
        <v>821</v>
      </c>
      <c r="I376" s="185" t="s">
        <v>3</v>
      </c>
    </row>
    <row r="377" spans="1:9" ht="0.75" hidden="1" customHeight="1">
      <c r="A377" s="185"/>
      <c r="B377" s="179"/>
      <c r="C377" s="185"/>
      <c r="D377" s="185" t="s">
        <v>818</v>
      </c>
      <c r="F377" s="186"/>
      <c r="G377" s="187" t="e">
        <f>#REF!</f>
        <v>#REF!</v>
      </c>
      <c r="H377" s="424">
        <v>960.62</v>
      </c>
      <c r="I377" s="188" t="s">
        <v>3</v>
      </c>
    </row>
    <row r="378" spans="1:9" hidden="1">
      <c r="A378" s="185"/>
      <c r="B378" s="179"/>
      <c r="C378" s="185"/>
      <c r="D378" s="185"/>
      <c r="E378" s="185"/>
      <c r="F378" s="186"/>
      <c r="G378" s="187"/>
      <c r="H378" s="424"/>
      <c r="I378" s="185" t="s">
        <v>3</v>
      </c>
    </row>
    <row r="379" spans="1:9" hidden="1">
      <c r="A379" s="185"/>
      <c r="B379" s="179"/>
      <c r="C379" s="185"/>
      <c r="D379" s="185"/>
      <c r="E379" s="185"/>
      <c r="F379" s="186"/>
      <c r="G379" s="187"/>
      <c r="H379" s="424"/>
      <c r="I379" s="185" t="s">
        <v>3</v>
      </c>
    </row>
    <row r="380" spans="1:9" hidden="1">
      <c r="A380" s="185"/>
      <c r="B380" s="179"/>
      <c r="C380" s="185"/>
      <c r="D380" s="185"/>
      <c r="E380" s="185"/>
      <c r="F380" s="186"/>
      <c r="G380" s="187"/>
      <c r="H380" s="424"/>
      <c r="I380" s="185"/>
    </row>
    <row r="381" spans="1:9" hidden="1">
      <c r="A381" s="185"/>
      <c r="B381" s="179"/>
      <c r="C381" s="185"/>
      <c r="D381" s="185"/>
      <c r="E381" s="185"/>
      <c r="F381" s="186"/>
      <c r="G381" s="187"/>
      <c r="H381" s="424"/>
      <c r="I381" s="185"/>
    </row>
    <row r="382" spans="1:9" hidden="1">
      <c r="A382" s="185" t="s">
        <v>822</v>
      </c>
      <c r="B382" s="179"/>
      <c r="C382" s="185"/>
      <c r="D382" s="185"/>
      <c r="E382" s="185"/>
      <c r="F382" s="186"/>
      <c r="G382" s="187"/>
      <c r="H382" s="424"/>
      <c r="I382" s="185" t="s">
        <v>3</v>
      </c>
    </row>
    <row r="383" spans="1:9" hidden="1">
      <c r="A383" s="185" t="s">
        <v>823</v>
      </c>
      <c r="B383" s="179"/>
      <c r="C383" s="185"/>
      <c r="D383" s="185"/>
      <c r="E383" s="185"/>
      <c r="F383" s="186"/>
      <c r="G383" s="187"/>
      <c r="H383" s="424"/>
      <c r="I383" s="185" t="s">
        <v>3</v>
      </c>
    </row>
    <row r="384" spans="1:9" ht="15.2" hidden="1" customHeight="1">
      <c r="A384" s="185" t="s">
        <v>824</v>
      </c>
      <c r="B384" s="179"/>
      <c r="C384" s="185"/>
      <c r="D384" s="185" t="s">
        <v>3</v>
      </c>
      <c r="I384" s="185" t="s">
        <v>3</v>
      </c>
    </row>
    <row r="385" spans="1:9" hidden="1">
      <c r="A385" s="185" t="s">
        <v>825</v>
      </c>
      <c r="B385" s="179"/>
      <c r="C385" s="185"/>
      <c r="D385" s="185"/>
      <c r="E385" s="185"/>
      <c r="F385" s="186"/>
      <c r="G385" s="187"/>
      <c r="H385" s="424"/>
      <c r="I385" s="185"/>
    </row>
    <row r="386" spans="1:9" hidden="1">
      <c r="A386" s="185" t="s">
        <v>826</v>
      </c>
      <c r="B386" s="179"/>
      <c r="C386" s="185"/>
      <c r="D386" s="185"/>
      <c r="E386" s="185"/>
      <c r="F386" s="186"/>
      <c r="G386" s="187"/>
      <c r="H386" s="424"/>
      <c r="I386" s="185"/>
    </row>
    <row r="387" spans="1:9" hidden="1">
      <c r="A387" s="185" t="s">
        <v>827</v>
      </c>
      <c r="B387" s="179"/>
      <c r="C387" s="185"/>
      <c r="D387" s="185"/>
      <c r="E387" s="185"/>
      <c r="F387" s="186"/>
      <c r="G387" s="187"/>
      <c r="H387" s="424"/>
      <c r="I387" s="185"/>
    </row>
    <row r="388" spans="1:9" hidden="1">
      <c r="A388" s="185" t="s">
        <v>828</v>
      </c>
      <c r="B388" s="179"/>
      <c r="C388" s="185"/>
      <c r="D388" s="185" t="s">
        <v>3</v>
      </c>
      <c r="E388" s="185"/>
      <c r="F388" s="186"/>
      <c r="G388" s="187"/>
      <c r="H388" s="424"/>
      <c r="I388" s="185"/>
    </row>
    <row r="389" spans="1:9" ht="15" hidden="1" customHeight="1">
      <c r="A389" s="185" t="s">
        <v>829</v>
      </c>
      <c r="B389" s="179"/>
      <c r="C389" s="185"/>
      <c r="D389" s="185"/>
      <c r="E389" s="185"/>
      <c r="F389" s="186"/>
      <c r="G389" s="187"/>
      <c r="H389" s="424"/>
      <c r="I389" s="185"/>
    </row>
    <row r="390" spans="1:9" ht="15" hidden="1" customHeight="1">
      <c r="A390" s="185" t="s">
        <v>830</v>
      </c>
      <c r="B390" s="179"/>
      <c r="C390" s="185"/>
      <c r="D390" s="185"/>
      <c r="E390" s="185"/>
      <c r="F390" s="186"/>
      <c r="G390" s="187"/>
      <c r="H390" s="424"/>
      <c r="I390" s="185"/>
    </row>
    <row r="391" spans="1:9" ht="15" hidden="1" customHeight="1">
      <c r="A391" s="185" t="s">
        <v>831</v>
      </c>
      <c r="B391" s="179"/>
      <c r="C391" s="185"/>
      <c r="D391" s="185"/>
      <c r="E391" s="185"/>
      <c r="F391" s="186"/>
      <c r="G391" s="187"/>
      <c r="H391" s="424"/>
      <c r="I391" s="185"/>
    </row>
    <row r="392" spans="1:9" ht="15" hidden="1" customHeight="1">
      <c r="A392" s="185" t="s">
        <v>832</v>
      </c>
      <c r="B392" s="179"/>
      <c r="C392" s="185"/>
      <c r="D392" s="185"/>
      <c r="E392" s="185"/>
      <c r="F392" s="186"/>
      <c r="G392" s="187"/>
      <c r="H392" s="424"/>
      <c r="I392" s="185"/>
    </row>
    <row r="393" spans="1:9" ht="15" hidden="1" customHeight="1">
      <c r="A393" s="185" t="s">
        <v>833</v>
      </c>
      <c r="B393" s="179"/>
      <c r="C393" s="185"/>
      <c r="D393" s="185"/>
      <c r="E393" s="185"/>
      <c r="F393" s="186"/>
      <c r="G393" s="187"/>
      <c r="H393" s="424"/>
      <c r="I393" s="185"/>
    </row>
    <row r="394" spans="1:9" ht="15" hidden="1" customHeight="1">
      <c r="A394" s="185" t="s">
        <v>834</v>
      </c>
      <c r="B394" s="179"/>
      <c r="C394" s="185"/>
      <c r="D394" s="185"/>
      <c r="E394" s="185"/>
      <c r="F394" s="186"/>
      <c r="G394" s="187"/>
      <c r="H394" s="424"/>
      <c r="I394" s="185"/>
    </row>
    <row r="395" spans="1:9" ht="15" hidden="1" customHeight="1">
      <c r="A395" s="185" t="s">
        <v>835</v>
      </c>
      <c r="B395" s="179"/>
      <c r="C395" s="185"/>
      <c r="D395" s="185"/>
      <c r="E395" s="185"/>
      <c r="F395" s="186"/>
      <c r="G395" s="187"/>
      <c r="H395" s="424"/>
      <c r="I395" s="185"/>
    </row>
    <row r="396" spans="1:9" ht="11.25" hidden="1" customHeight="1">
      <c r="A396" s="185" t="s">
        <v>836</v>
      </c>
      <c r="B396" s="179"/>
      <c r="C396" s="185"/>
      <c r="D396" s="185"/>
      <c r="E396" s="185"/>
      <c r="F396" s="186"/>
      <c r="G396" s="187"/>
      <c r="H396" s="424"/>
      <c r="I396" s="185"/>
    </row>
    <row r="397" spans="1:9" ht="15" hidden="1" customHeight="1">
      <c r="A397" s="185" t="s">
        <v>837</v>
      </c>
      <c r="B397" s="179"/>
      <c r="C397" s="185"/>
      <c r="D397" s="185"/>
      <c r="E397" s="185"/>
      <c r="F397" s="186"/>
      <c r="G397" s="187"/>
      <c r="H397" s="424"/>
      <c r="I397" s="185"/>
    </row>
    <row r="398" spans="1:9" ht="15" hidden="1" customHeight="1">
      <c r="A398" s="185" t="s">
        <v>838</v>
      </c>
      <c r="B398" s="179"/>
      <c r="C398" s="185"/>
      <c r="D398" s="185"/>
      <c r="E398" s="185"/>
      <c r="F398" s="186"/>
      <c r="G398" s="187"/>
      <c r="H398" s="424"/>
      <c r="I398" s="185"/>
    </row>
    <row r="399" spans="1:9" ht="15" hidden="1" customHeight="1">
      <c r="A399" s="185" t="s">
        <v>839</v>
      </c>
      <c r="B399" s="179"/>
      <c r="C399" s="185"/>
      <c r="D399" s="185"/>
      <c r="E399" s="185"/>
      <c r="F399" s="186"/>
      <c r="G399" s="187"/>
      <c r="H399" s="424"/>
      <c r="I399" s="185"/>
    </row>
    <row r="400" spans="1:9" ht="15" hidden="1" customHeight="1">
      <c r="A400" s="185" t="s">
        <v>840</v>
      </c>
      <c r="B400" s="179"/>
      <c r="C400" s="185"/>
      <c r="D400" s="185"/>
      <c r="E400" s="185"/>
      <c r="F400" s="186"/>
      <c r="G400" s="187"/>
      <c r="H400" s="424"/>
      <c r="I400" s="185"/>
    </row>
    <row r="401" spans="1:9" ht="15" hidden="1" customHeight="1">
      <c r="A401" s="185" t="s">
        <v>841</v>
      </c>
      <c r="B401" s="179"/>
      <c r="C401" s="185"/>
      <c r="D401" s="185"/>
      <c r="E401" s="185"/>
      <c r="F401" s="186"/>
      <c r="G401" s="187"/>
      <c r="H401" s="424"/>
      <c r="I401" s="185"/>
    </row>
    <row r="402" spans="1:9" ht="15" hidden="1" customHeight="1">
      <c r="A402" s="185" t="s">
        <v>842</v>
      </c>
      <c r="B402" s="179"/>
      <c r="C402" s="185"/>
      <c r="D402" s="185"/>
      <c r="E402" s="185"/>
      <c r="F402" s="186"/>
      <c r="G402" s="187"/>
      <c r="H402" s="424"/>
      <c r="I402" s="185"/>
    </row>
    <row r="403" spans="1:9" ht="15" hidden="1" customHeight="1">
      <c r="A403" s="185" t="s">
        <v>843</v>
      </c>
      <c r="B403" s="179"/>
      <c r="C403" s="185"/>
      <c r="D403" s="185"/>
      <c r="E403" s="185"/>
      <c r="F403" s="186"/>
      <c r="G403" s="187"/>
      <c r="H403" s="424"/>
      <c r="I403" s="185"/>
    </row>
    <row r="404" spans="1:9" ht="15" hidden="1" customHeight="1">
      <c r="A404" s="185" t="s">
        <v>844</v>
      </c>
      <c r="B404" s="179"/>
      <c r="C404" s="185"/>
      <c r="D404" s="185"/>
      <c r="E404" s="185"/>
      <c r="F404" s="186"/>
      <c r="G404" s="187"/>
      <c r="H404" s="424"/>
      <c r="I404" s="185"/>
    </row>
    <row r="405" spans="1:9" ht="15" hidden="1" customHeight="1">
      <c r="A405" s="185" t="s">
        <v>845</v>
      </c>
      <c r="B405" s="179"/>
      <c r="C405" s="185"/>
      <c r="D405" s="185"/>
      <c r="E405" s="189"/>
      <c r="F405" s="185"/>
      <c r="G405" s="189"/>
      <c r="H405" s="424"/>
      <c r="I405" s="190"/>
    </row>
    <row r="406" spans="1:9" ht="15" hidden="1" customHeight="1">
      <c r="A406" s="185" t="s">
        <v>846</v>
      </c>
      <c r="B406" s="179"/>
      <c r="C406" s="185"/>
      <c r="D406" s="185"/>
      <c r="E406" s="185"/>
      <c r="F406" s="185"/>
      <c r="G406" s="185"/>
      <c r="H406" s="424"/>
      <c r="I406" s="190"/>
    </row>
    <row r="407" spans="1:9" ht="15" hidden="1" customHeight="1">
      <c r="A407" s="185" t="s">
        <v>847</v>
      </c>
      <c r="B407" s="179"/>
      <c r="C407" s="185"/>
      <c r="D407" s="185"/>
      <c r="E407" s="185"/>
      <c r="F407" s="185"/>
      <c r="G407" s="185"/>
      <c r="H407" s="424"/>
      <c r="I407" s="185"/>
    </row>
    <row r="408" spans="1:9" ht="15" hidden="1" customHeight="1">
      <c r="A408" s="185" t="s">
        <v>848</v>
      </c>
      <c r="B408" s="179"/>
      <c r="C408" s="185"/>
      <c r="D408" s="185"/>
      <c r="E408" s="185"/>
      <c r="F408" s="185"/>
      <c r="G408" s="191"/>
      <c r="H408" s="424"/>
      <c r="I408" s="185"/>
    </row>
    <row r="409" spans="1:9" ht="15" hidden="1" customHeight="1">
      <c r="A409" s="185" t="s">
        <v>849</v>
      </c>
      <c r="B409" s="179"/>
      <c r="C409" s="185"/>
      <c r="D409" s="185"/>
      <c r="E409" s="185"/>
      <c r="F409" s="185"/>
      <c r="G409" s="191"/>
      <c r="H409" s="424"/>
      <c r="I409" s="185"/>
    </row>
    <row r="410" spans="1:9" ht="0.6" hidden="1" customHeight="1">
      <c r="A410" s="185" t="s">
        <v>850</v>
      </c>
      <c r="B410" s="179"/>
      <c r="C410" s="185"/>
      <c r="D410" s="185"/>
      <c r="E410" s="185"/>
      <c r="F410" s="185"/>
      <c r="G410" s="185"/>
      <c r="H410" s="424"/>
      <c r="I410" s="185"/>
    </row>
    <row r="411" spans="1:9" ht="0.6" hidden="1" customHeight="1">
      <c r="A411" s="185"/>
      <c r="B411" s="179"/>
      <c r="C411" s="185"/>
      <c r="D411" s="185"/>
      <c r="E411" s="185"/>
      <c r="F411" s="185"/>
      <c r="G411" s="185"/>
      <c r="H411" s="424"/>
      <c r="I411" s="185"/>
    </row>
    <row r="412" spans="1:9" ht="0.6" hidden="1" customHeight="1">
      <c r="A412" s="185"/>
      <c r="B412" s="179"/>
      <c r="C412" s="185"/>
      <c r="D412" s="185"/>
      <c r="E412" s="185"/>
      <c r="F412" s="185"/>
      <c r="G412" s="185"/>
      <c r="H412" s="424"/>
      <c r="I412" s="185"/>
    </row>
    <row r="413" spans="1:9" ht="0.6" hidden="1" customHeight="1">
      <c r="A413" s="185"/>
      <c r="B413" s="179"/>
      <c r="C413" s="185"/>
      <c r="D413" s="185"/>
      <c r="E413" s="185"/>
      <c r="F413" s="185"/>
      <c r="G413" s="185"/>
      <c r="H413" s="424"/>
      <c r="I413" s="185"/>
    </row>
    <row r="414" spans="1:9" ht="0.6" hidden="1" customHeight="1">
      <c r="A414" s="185"/>
      <c r="B414" s="179"/>
      <c r="C414" s="185"/>
      <c r="D414" s="185"/>
      <c r="E414" s="185"/>
      <c r="F414" s="185"/>
      <c r="G414" s="185"/>
      <c r="H414" s="424"/>
      <c r="I414" s="185"/>
    </row>
    <row r="415" spans="1:9" ht="0.6" hidden="1" customHeight="1">
      <c r="A415" s="185"/>
      <c r="B415" s="179"/>
      <c r="C415" s="185"/>
      <c r="D415" s="185"/>
      <c r="E415" s="185"/>
      <c r="F415" s="185"/>
      <c r="G415" s="185"/>
      <c r="H415" s="424"/>
      <c r="I415" s="185"/>
    </row>
    <row r="416" spans="1:9" ht="0.6" hidden="1" customHeight="1">
      <c r="A416" s="185"/>
      <c r="B416" s="179"/>
      <c r="C416" s="185"/>
      <c r="D416" s="185"/>
      <c r="E416" s="185"/>
      <c r="F416" s="185"/>
      <c r="G416" s="185"/>
      <c r="H416" s="424"/>
      <c r="I416" s="185"/>
    </row>
    <row r="417" spans="1:9" ht="0.6" hidden="1" customHeight="1">
      <c r="A417" s="185"/>
      <c r="B417" s="179"/>
      <c r="C417" s="185"/>
      <c r="D417" s="185"/>
      <c r="E417" s="185"/>
      <c r="F417" s="185"/>
      <c r="G417" s="185"/>
      <c r="H417" s="424"/>
      <c r="I417" s="185"/>
    </row>
    <row r="418" spans="1:9" ht="0.6" hidden="1" customHeight="1">
      <c r="A418" s="185"/>
      <c r="B418" s="179"/>
      <c r="C418" s="185"/>
      <c r="D418" s="185"/>
      <c r="E418" s="185"/>
      <c r="F418" s="185"/>
      <c r="G418" s="185"/>
      <c r="H418" s="424"/>
      <c r="I418" s="185"/>
    </row>
    <row r="419" spans="1:9" ht="15" hidden="1" customHeight="1">
      <c r="A419" s="185" t="s">
        <v>851</v>
      </c>
      <c r="B419" s="179"/>
      <c r="C419" s="185"/>
      <c r="D419" s="185"/>
      <c r="E419" s="185"/>
      <c r="F419" s="185"/>
      <c r="G419" s="191"/>
      <c r="H419" s="424"/>
      <c r="I419" s="185"/>
    </row>
    <row r="420" spans="1:9" ht="15" hidden="1" customHeight="1">
      <c r="A420" s="185" t="s">
        <v>852</v>
      </c>
      <c r="B420" s="179"/>
      <c r="C420" s="185"/>
      <c r="D420" s="185"/>
      <c r="E420" s="185"/>
      <c r="F420" s="185"/>
      <c r="G420" s="191"/>
      <c r="H420" s="424"/>
      <c r="I420" s="185"/>
    </row>
    <row r="421" spans="1:9" ht="15" hidden="1" customHeight="1">
      <c r="A421" s="185" t="s">
        <v>853</v>
      </c>
      <c r="B421" s="179"/>
      <c r="C421" s="185"/>
      <c r="D421" s="185"/>
      <c r="E421" s="185"/>
      <c r="F421" s="185"/>
      <c r="G421" s="191"/>
      <c r="H421" s="424"/>
      <c r="I421" s="185"/>
    </row>
    <row r="422" spans="1:9" ht="15" hidden="1" customHeight="1">
      <c r="A422" s="185" t="s">
        <v>854</v>
      </c>
      <c r="B422" s="179"/>
      <c r="C422" s="185"/>
      <c r="E422" s="185"/>
      <c r="G422" s="192"/>
    </row>
    <row r="423" spans="1:9" ht="15" hidden="1" customHeight="1">
      <c r="A423" s="185" t="s">
        <v>855</v>
      </c>
      <c r="B423" s="179"/>
      <c r="C423" s="185"/>
      <c r="E423" s="185"/>
      <c r="G423" s="192"/>
    </row>
    <row r="424" spans="1:9" ht="15" hidden="1" customHeight="1">
      <c r="A424" s="185" t="s">
        <v>856</v>
      </c>
      <c r="B424" s="179"/>
    </row>
    <row r="425" spans="1:9" ht="15" hidden="1" customHeight="1">
      <c r="A425" s="185" t="s">
        <v>857</v>
      </c>
      <c r="B425" s="179"/>
      <c r="C425" s="185"/>
      <c r="E425" s="185"/>
      <c r="G425" s="192"/>
    </row>
    <row r="426" spans="1:9" ht="15" hidden="1" customHeight="1">
      <c r="A426" s="185" t="s">
        <v>858</v>
      </c>
      <c r="B426" s="179"/>
      <c r="C426" s="185"/>
      <c r="E426" s="185"/>
      <c r="G426" s="192"/>
    </row>
    <row r="427" spans="1:9" ht="15" hidden="1" customHeight="1">
      <c r="A427" s="185" t="s">
        <v>859</v>
      </c>
      <c r="B427" s="179"/>
      <c r="C427" s="185"/>
      <c r="E427" s="185"/>
      <c r="G427" s="192"/>
    </row>
    <row r="428" spans="1:9" ht="15" hidden="1" customHeight="1">
      <c r="A428" s="185" t="s">
        <v>860</v>
      </c>
      <c r="B428" s="179"/>
      <c r="C428" s="185"/>
      <c r="E428" s="185"/>
      <c r="G428" s="192"/>
    </row>
    <row r="429" spans="1:9" ht="15" hidden="1" customHeight="1">
      <c r="A429" s="185" t="s">
        <v>861</v>
      </c>
      <c r="B429" s="179"/>
      <c r="C429" s="185"/>
      <c r="E429" s="185"/>
      <c r="G429" s="192"/>
    </row>
    <row r="430" spans="1:9" ht="15" hidden="1" customHeight="1">
      <c r="A430" s="185" t="s">
        <v>862</v>
      </c>
      <c r="B430" s="179"/>
      <c r="G430" s="192"/>
    </row>
    <row r="431" spans="1:9" ht="18.75" hidden="1" customHeight="1">
      <c r="A431" s="185" t="s">
        <v>863</v>
      </c>
      <c r="B431" s="179"/>
      <c r="C431" s="185"/>
      <c r="E431" s="185"/>
      <c r="G431" s="192"/>
    </row>
    <row r="432" spans="1:9" ht="16.5" hidden="1" customHeight="1">
      <c r="A432" s="185" t="s">
        <v>864</v>
      </c>
    </row>
    <row r="433" spans="1:1" ht="14.25" hidden="1" customHeight="1">
      <c r="A433" s="185" t="s">
        <v>865</v>
      </c>
    </row>
    <row r="434" spans="1:1" ht="14.25" hidden="1" customHeight="1">
      <c r="A434" s="185" t="s">
        <v>866</v>
      </c>
    </row>
    <row r="435" spans="1:1" hidden="1">
      <c r="A435" s="185" t="s">
        <v>867</v>
      </c>
    </row>
    <row r="436" spans="1:1" hidden="1">
      <c r="A436" s="185" t="s">
        <v>868</v>
      </c>
    </row>
    <row r="437" spans="1:1" hidden="1">
      <c r="A437" s="185" t="s">
        <v>869</v>
      </c>
    </row>
    <row r="438" spans="1:1" hidden="1">
      <c r="A438" s="185" t="s">
        <v>870</v>
      </c>
    </row>
    <row r="439" spans="1:1" hidden="1">
      <c r="A439" s="185" t="s">
        <v>871</v>
      </c>
    </row>
    <row r="440" spans="1:1" hidden="1">
      <c r="A440" s="185" t="s">
        <v>872</v>
      </c>
    </row>
    <row r="441" spans="1:1" hidden="1">
      <c r="A441" s="185" t="s">
        <v>873</v>
      </c>
    </row>
    <row r="442" spans="1:1" hidden="1">
      <c r="A442" s="185" t="s">
        <v>874</v>
      </c>
    </row>
    <row r="443" spans="1:1" hidden="1">
      <c r="A443" s="185" t="s">
        <v>875</v>
      </c>
    </row>
    <row r="444" spans="1:1" hidden="1">
      <c r="A444" s="185" t="s">
        <v>876</v>
      </c>
    </row>
    <row r="445" spans="1:1" hidden="1">
      <c r="A445" s="185" t="s">
        <v>877</v>
      </c>
    </row>
    <row r="446" spans="1:1" hidden="1">
      <c r="A446" s="185" t="s">
        <v>878</v>
      </c>
    </row>
    <row r="447" spans="1:1" hidden="1">
      <c r="A447" s="185" t="s">
        <v>879</v>
      </c>
    </row>
    <row r="448" spans="1:1" hidden="1">
      <c r="A448" s="185" t="s">
        <v>880</v>
      </c>
    </row>
    <row r="449" spans="1:1" hidden="1">
      <c r="A449" s="185" t="s">
        <v>881</v>
      </c>
    </row>
    <row r="450" spans="1:1" hidden="1">
      <c r="A450" s="185" t="s">
        <v>882</v>
      </c>
    </row>
    <row r="451" spans="1:1" hidden="1">
      <c r="A451" s="185" t="s">
        <v>883</v>
      </c>
    </row>
    <row r="452" spans="1:1" hidden="1">
      <c r="A452" s="185" t="s">
        <v>884</v>
      </c>
    </row>
    <row r="453" spans="1:1" hidden="1">
      <c r="A453" s="185" t="s">
        <v>885</v>
      </c>
    </row>
    <row r="454" spans="1:1" hidden="1">
      <c r="A454" s="185" t="s">
        <v>886</v>
      </c>
    </row>
    <row r="455" spans="1:1" hidden="1">
      <c r="A455" s="185" t="s">
        <v>887</v>
      </c>
    </row>
    <row r="456" spans="1:1" hidden="1">
      <c r="A456" s="185" t="s">
        <v>888</v>
      </c>
    </row>
    <row r="457" spans="1:1" hidden="1">
      <c r="A457" s="185" t="s">
        <v>889</v>
      </c>
    </row>
    <row r="458" spans="1:1" hidden="1">
      <c r="A458" s="185" t="s">
        <v>890</v>
      </c>
    </row>
    <row r="459" spans="1:1" hidden="1">
      <c r="A459" s="185" t="s">
        <v>891</v>
      </c>
    </row>
    <row r="460" spans="1:1" hidden="1">
      <c r="A460" s="185" t="s">
        <v>892</v>
      </c>
    </row>
    <row r="461" spans="1:1" hidden="1">
      <c r="A461" s="185" t="s">
        <v>893</v>
      </c>
    </row>
    <row r="462" spans="1:1" hidden="1">
      <c r="A462" s="185" t="s">
        <v>894</v>
      </c>
    </row>
    <row r="463" spans="1:1" hidden="1">
      <c r="A463" s="185" t="s">
        <v>895</v>
      </c>
    </row>
    <row r="464" spans="1:1" hidden="1">
      <c r="A464" s="185" t="s">
        <v>896</v>
      </c>
    </row>
    <row r="465" spans="1:1" hidden="1">
      <c r="A465" s="185" t="s">
        <v>897</v>
      </c>
    </row>
    <row r="466" spans="1:1" hidden="1">
      <c r="A466" s="185" t="s">
        <v>898</v>
      </c>
    </row>
    <row r="467" spans="1:1" hidden="1">
      <c r="A467" s="185" t="s">
        <v>899</v>
      </c>
    </row>
    <row r="468" spans="1:1" hidden="1">
      <c r="A468" s="185" t="s">
        <v>900</v>
      </c>
    </row>
    <row r="469" spans="1:1" hidden="1">
      <c r="A469" s="185" t="s">
        <v>901</v>
      </c>
    </row>
    <row r="470" spans="1:1" hidden="1">
      <c r="A470" s="185" t="s">
        <v>902</v>
      </c>
    </row>
    <row r="471" spans="1:1" hidden="1">
      <c r="A471" s="185" t="s">
        <v>903</v>
      </c>
    </row>
    <row r="472" spans="1:1" hidden="1">
      <c r="A472" s="185" t="s">
        <v>904</v>
      </c>
    </row>
    <row r="473" spans="1:1" hidden="1">
      <c r="A473" s="185" t="s">
        <v>905</v>
      </c>
    </row>
    <row r="474" spans="1:1" hidden="1">
      <c r="A474" s="185" t="s">
        <v>906</v>
      </c>
    </row>
    <row r="475" spans="1:1" hidden="1">
      <c r="A475" s="185" t="s">
        <v>907</v>
      </c>
    </row>
    <row r="476" spans="1:1" hidden="1">
      <c r="A476" s="185" t="s">
        <v>908</v>
      </c>
    </row>
    <row r="477" spans="1:1" hidden="1">
      <c r="A477" s="185" t="s">
        <v>909</v>
      </c>
    </row>
    <row r="478" spans="1:1" hidden="1">
      <c r="A478" s="185" t="s">
        <v>910</v>
      </c>
    </row>
    <row r="479" spans="1:1" hidden="1">
      <c r="A479" s="185" t="s">
        <v>911</v>
      </c>
    </row>
    <row r="480" spans="1:1" hidden="1">
      <c r="A480" s="185" t="s">
        <v>912</v>
      </c>
    </row>
    <row r="481" spans="1:9" hidden="1">
      <c r="A481" s="185" t="s">
        <v>913</v>
      </c>
      <c r="I481" s="178" t="s">
        <v>3</v>
      </c>
    </row>
    <row r="482" spans="1:9" hidden="1">
      <c r="A482" s="185" t="s">
        <v>914</v>
      </c>
      <c r="I482" s="178" t="s">
        <v>3</v>
      </c>
    </row>
    <row r="483" spans="1:9" hidden="1">
      <c r="A483" s="185" t="s">
        <v>915</v>
      </c>
    </row>
    <row r="484" spans="1:9" hidden="1">
      <c r="A484" s="185" t="s">
        <v>916</v>
      </c>
    </row>
    <row r="485" spans="1:9" hidden="1">
      <c r="A485" s="185" t="s">
        <v>917</v>
      </c>
    </row>
    <row r="486" spans="1:9" hidden="1">
      <c r="A486" s="185" t="s">
        <v>918</v>
      </c>
    </row>
    <row r="487" spans="1:9" hidden="1">
      <c r="A487" s="185" t="s">
        <v>919</v>
      </c>
    </row>
    <row r="488" spans="1:9" hidden="1">
      <c r="A488" s="185" t="s">
        <v>920</v>
      </c>
    </row>
    <row r="489" spans="1:9" hidden="1">
      <c r="A489" s="185" t="s">
        <v>921</v>
      </c>
      <c r="C489" s="178" t="s">
        <v>3</v>
      </c>
    </row>
    <row r="490" spans="1:9" hidden="1">
      <c r="A490" s="178" t="s">
        <v>922</v>
      </c>
      <c r="C490" s="178" t="s">
        <v>3</v>
      </c>
    </row>
    <row r="491" spans="1:9" hidden="1">
      <c r="A491" s="178" t="s">
        <v>923</v>
      </c>
    </row>
    <row r="492" spans="1:9" hidden="1">
      <c r="A492" s="185" t="s">
        <v>924</v>
      </c>
    </row>
    <row r="493" spans="1:9" hidden="1">
      <c r="A493" s="185" t="s">
        <v>925</v>
      </c>
    </row>
    <row r="494" spans="1:9" hidden="1">
      <c r="A494" s="185" t="s">
        <v>926</v>
      </c>
    </row>
    <row r="495" spans="1:9" hidden="1">
      <c r="A495" s="185" t="s">
        <v>927</v>
      </c>
      <c r="D495" s="178" t="s">
        <v>3</v>
      </c>
      <c r="E495" s="178">
        <v>386144</v>
      </c>
    </row>
    <row r="496" spans="1:9" hidden="1">
      <c r="A496" s="185" t="s">
        <v>928</v>
      </c>
      <c r="E496" s="178">
        <v>150000</v>
      </c>
    </row>
    <row r="497" spans="1:9" hidden="1">
      <c r="A497" s="185" t="s">
        <v>929</v>
      </c>
      <c r="E497" s="178">
        <v>58019</v>
      </c>
    </row>
    <row r="498" spans="1:9" hidden="1">
      <c r="A498" s="185" t="s">
        <v>930</v>
      </c>
      <c r="E498" s="178">
        <v>60000</v>
      </c>
    </row>
    <row r="499" spans="1:9" hidden="1">
      <c r="A499" s="185" t="s">
        <v>931</v>
      </c>
    </row>
    <row r="500" spans="1:9" hidden="1">
      <c r="A500" s="185" t="s">
        <v>932</v>
      </c>
      <c r="E500" s="178">
        <v>50000</v>
      </c>
      <c r="F500" s="178" t="s">
        <v>933</v>
      </c>
    </row>
    <row r="501" spans="1:9" hidden="1">
      <c r="A501" s="185" t="s">
        <v>934</v>
      </c>
      <c r="E501" s="178">
        <v>60000</v>
      </c>
      <c r="F501" s="178" t="s">
        <v>933</v>
      </c>
    </row>
    <row r="502" spans="1:9" hidden="1">
      <c r="A502" s="185" t="s">
        <v>935</v>
      </c>
      <c r="E502" s="178">
        <v>50000</v>
      </c>
      <c r="F502" s="178" t="s">
        <v>933</v>
      </c>
    </row>
    <row r="503" spans="1:9" hidden="1">
      <c r="A503" s="185" t="s">
        <v>936</v>
      </c>
      <c r="E503" s="178">
        <v>60000</v>
      </c>
      <c r="F503" s="178" t="s">
        <v>933</v>
      </c>
    </row>
    <row r="504" spans="1:9" hidden="1">
      <c r="A504" s="185" t="s">
        <v>937</v>
      </c>
      <c r="E504" s="178">
        <v>200000</v>
      </c>
      <c r="F504" s="178" t="s">
        <v>938</v>
      </c>
    </row>
    <row r="505" spans="1:9" hidden="1">
      <c r="A505" s="185" t="s">
        <v>939</v>
      </c>
      <c r="E505" s="178">
        <v>95367</v>
      </c>
      <c r="F505" s="178" t="s">
        <v>933</v>
      </c>
    </row>
    <row r="506" spans="1:9" hidden="1">
      <c r="A506" s="185" t="s">
        <v>940</v>
      </c>
      <c r="E506" s="178">
        <v>223941</v>
      </c>
      <c r="F506" s="178" t="s">
        <v>938</v>
      </c>
    </row>
    <row r="507" spans="1:9" hidden="1">
      <c r="A507" s="185" t="s">
        <v>941</v>
      </c>
      <c r="E507" s="178">
        <v>600000</v>
      </c>
      <c r="F507" s="178" t="s">
        <v>933</v>
      </c>
    </row>
    <row r="508" spans="1:9" hidden="1">
      <c r="A508" s="185" t="s">
        <v>30</v>
      </c>
      <c r="E508" s="178">
        <v>386100</v>
      </c>
      <c r="F508" s="178" t="s">
        <v>933</v>
      </c>
    </row>
    <row r="509" spans="1:9" hidden="1">
      <c r="A509" s="185" t="s">
        <v>942</v>
      </c>
      <c r="E509" s="178">
        <v>1066513</v>
      </c>
      <c r="F509" s="178" t="s">
        <v>933</v>
      </c>
    </row>
    <row r="510" spans="1:9" hidden="1">
      <c r="A510" s="185" t="s">
        <v>943</v>
      </c>
      <c r="E510" s="178">
        <v>50000</v>
      </c>
      <c r="F510" s="178" t="s">
        <v>933</v>
      </c>
      <c r="G510" s="193">
        <v>39225</v>
      </c>
      <c r="I510" s="178" t="s">
        <v>3</v>
      </c>
    </row>
    <row r="511" spans="1:9" hidden="1">
      <c r="A511" s="185" t="s">
        <v>944</v>
      </c>
      <c r="E511" s="178">
        <v>120000</v>
      </c>
      <c r="F511" s="178" t="s">
        <v>933</v>
      </c>
      <c r="G511" s="193">
        <v>39225</v>
      </c>
    </row>
    <row r="512" spans="1:9" hidden="1">
      <c r="A512" s="185" t="s">
        <v>945</v>
      </c>
      <c r="E512" s="178">
        <v>500000</v>
      </c>
      <c r="F512" s="178" t="s">
        <v>946</v>
      </c>
      <c r="G512" s="193">
        <v>39225</v>
      </c>
      <c r="I512" s="185"/>
    </row>
    <row r="513" spans="1:9" hidden="1">
      <c r="A513" s="185" t="s">
        <v>947</v>
      </c>
      <c r="E513" s="178">
        <v>300000</v>
      </c>
      <c r="F513" s="178" t="s">
        <v>948</v>
      </c>
      <c r="H513" s="425">
        <v>39245</v>
      </c>
      <c r="I513" s="185"/>
    </row>
    <row r="514" spans="1:9" hidden="1">
      <c r="A514" s="185" t="s">
        <v>949</v>
      </c>
      <c r="E514" s="178">
        <v>200000</v>
      </c>
      <c r="F514" s="178" t="s">
        <v>948</v>
      </c>
      <c r="H514" s="425" t="s">
        <v>950</v>
      </c>
    </row>
    <row r="515" spans="1:9" hidden="1">
      <c r="A515" s="185" t="s">
        <v>951</v>
      </c>
      <c r="E515" s="178">
        <v>25572</v>
      </c>
      <c r="F515" s="178" t="s">
        <v>933</v>
      </c>
      <c r="H515" s="425" t="s">
        <v>950</v>
      </c>
    </row>
    <row r="516" spans="1:9" hidden="1">
      <c r="A516" s="185" t="s">
        <v>587</v>
      </c>
      <c r="E516" s="178">
        <v>3200000</v>
      </c>
      <c r="F516" s="178" t="s">
        <v>948</v>
      </c>
      <c r="H516" s="425" t="s">
        <v>952</v>
      </c>
    </row>
    <row r="517" spans="1:9" hidden="1">
      <c r="A517" s="185" t="s">
        <v>953</v>
      </c>
      <c r="E517" s="178">
        <v>600000</v>
      </c>
      <c r="F517" s="178" t="s">
        <v>948</v>
      </c>
      <c r="H517" s="425" t="s">
        <v>954</v>
      </c>
    </row>
    <row r="518" spans="1:9" hidden="1">
      <c r="A518" s="185" t="s">
        <v>955</v>
      </c>
      <c r="E518" s="178">
        <v>200000</v>
      </c>
      <c r="F518" s="178" t="s">
        <v>948</v>
      </c>
      <c r="H518" s="425">
        <v>39320</v>
      </c>
    </row>
    <row r="519" spans="1:9" hidden="1">
      <c r="A519" s="185" t="s">
        <v>956</v>
      </c>
      <c r="E519" s="178">
        <v>1940000</v>
      </c>
      <c r="F519" s="178" t="s">
        <v>938</v>
      </c>
      <c r="H519" s="425">
        <v>39320</v>
      </c>
    </row>
    <row r="520" spans="1:9" hidden="1">
      <c r="A520" s="185" t="s">
        <v>957</v>
      </c>
      <c r="E520" s="178">
        <v>500000</v>
      </c>
      <c r="F520" s="178" t="s">
        <v>948</v>
      </c>
      <c r="H520" s="425">
        <v>39343</v>
      </c>
    </row>
    <row r="521" spans="1:9" hidden="1">
      <c r="A521" s="185" t="s">
        <v>958</v>
      </c>
      <c r="E521" s="178">
        <v>1963980</v>
      </c>
      <c r="F521" s="178" t="s">
        <v>959</v>
      </c>
    </row>
    <row r="522" spans="1:9" hidden="1">
      <c r="A522" s="185" t="s">
        <v>960</v>
      </c>
      <c r="E522" s="178">
        <v>393370</v>
      </c>
      <c r="F522" s="178" t="s">
        <v>961</v>
      </c>
    </row>
    <row r="523" spans="1:9" hidden="1">
      <c r="A523" s="185" t="s">
        <v>927</v>
      </c>
      <c r="E523" s="178">
        <v>2066274</v>
      </c>
      <c r="F523" s="178" t="s">
        <v>959</v>
      </c>
    </row>
    <row r="524" spans="1:9" hidden="1">
      <c r="A524" s="185" t="s">
        <v>962</v>
      </c>
      <c r="E524" s="178">
        <v>300000</v>
      </c>
      <c r="F524" s="178" t="s">
        <v>948</v>
      </c>
    </row>
    <row r="525" spans="1:9" hidden="1">
      <c r="A525" s="185" t="s">
        <v>963</v>
      </c>
      <c r="E525" s="178">
        <v>500000</v>
      </c>
      <c r="F525" s="178" t="s">
        <v>948</v>
      </c>
    </row>
    <row r="526" spans="1:9" hidden="1">
      <c r="A526" s="185" t="s">
        <v>964</v>
      </c>
      <c r="E526" s="178">
        <v>1000000</v>
      </c>
      <c r="F526" s="178" t="s">
        <v>938</v>
      </c>
    </row>
    <row r="527" spans="1:9" hidden="1">
      <c r="A527" s="185" t="s">
        <v>965</v>
      </c>
      <c r="E527" s="178">
        <v>1250000</v>
      </c>
      <c r="F527" s="178" t="s">
        <v>938</v>
      </c>
    </row>
    <row r="528" spans="1:9" hidden="1">
      <c r="A528" s="185" t="s">
        <v>966</v>
      </c>
      <c r="E528" s="178">
        <v>1000000</v>
      </c>
      <c r="F528" s="178" t="s">
        <v>938</v>
      </c>
    </row>
    <row r="529" spans="1:6" hidden="1">
      <c r="A529" s="185" t="s">
        <v>967</v>
      </c>
      <c r="E529" s="178" t="s">
        <v>968</v>
      </c>
    </row>
    <row r="530" spans="1:6" hidden="1">
      <c r="A530" s="185" t="s">
        <v>940</v>
      </c>
      <c r="E530" s="178">
        <f>663941-623941</f>
        <v>40000</v>
      </c>
      <c r="F530" s="178" t="s">
        <v>969</v>
      </c>
    </row>
    <row r="531" spans="1:6" hidden="1">
      <c r="A531" s="185" t="s">
        <v>970</v>
      </c>
      <c r="E531" s="178">
        <f>501306-37500</f>
        <v>463806</v>
      </c>
      <c r="F531" s="178" t="s">
        <v>971</v>
      </c>
    </row>
    <row r="532" spans="1:6" hidden="1">
      <c r="A532" s="185" t="s">
        <v>972</v>
      </c>
      <c r="E532" s="178">
        <f>653400-544500</f>
        <v>108900</v>
      </c>
      <c r="F532" s="178" t="s">
        <v>969</v>
      </c>
    </row>
    <row r="533" spans="1:6" hidden="1">
      <c r="A533" s="185" t="s">
        <v>973</v>
      </c>
      <c r="E533" s="178">
        <f>242434-220000</f>
        <v>22434</v>
      </c>
      <c r="F533" s="178" t="s">
        <v>969</v>
      </c>
    </row>
    <row r="534" spans="1:6" hidden="1">
      <c r="A534" s="185" t="s">
        <v>974</v>
      </c>
      <c r="E534" s="178">
        <v>200000</v>
      </c>
      <c r="F534" s="178" t="s">
        <v>971</v>
      </c>
    </row>
    <row r="535" spans="1:6" hidden="1">
      <c r="A535" s="185" t="s">
        <v>937</v>
      </c>
      <c r="E535" s="178">
        <f>780000-600000</f>
        <v>180000</v>
      </c>
      <c r="F535" s="178" t="s">
        <v>975</v>
      </c>
    </row>
    <row r="536" spans="1:6" hidden="1">
      <c r="A536" s="185" t="s">
        <v>976</v>
      </c>
      <c r="E536" s="178">
        <f>288000-240000</f>
        <v>48000</v>
      </c>
      <c r="F536" s="178" t="s">
        <v>969</v>
      </c>
    </row>
    <row r="537" spans="1:6" hidden="1">
      <c r="A537" s="185" t="s">
        <v>977</v>
      </c>
      <c r="E537" s="178">
        <v>175507</v>
      </c>
      <c r="F537" s="178" t="s">
        <v>978</v>
      </c>
    </row>
    <row r="538" spans="1:6" hidden="1">
      <c r="A538" s="185" t="s">
        <v>979</v>
      </c>
      <c r="E538" s="178">
        <f>632500-500000</f>
        <v>132500</v>
      </c>
      <c r="F538" s="178" t="s">
        <v>969</v>
      </c>
    </row>
    <row r="539" spans="1:6" hidden="1">
      <c r="A539" s="185" t="s">
        <v>980</v>
      </c>
      <c r="E539" s="178">
        <v>200000</v>
      </c>
      <c r="F539" s="178" t="s">
        <v>969</v>
      </c>
    </row>
    <row r="540" spans="1:6" hidden="1">
      <c r="A540" s="185" t="s">
        <v>981</v>
      </c>
      <c r="E540" s="178">
        <v>1000000</v>
      </c>
      <c r="F540" s="178" t="s">
        <v>971</v>
      </c>
    </row>
    <row r="541" spans="1:6" hidden="1">
      <c r="A541" s="185" t="s">
        <v>982</v>
      </c>
      <c r="E541" s="178">
        <v>910000</v>
      </c>
      <c r="F541" s="178" t="s">
        <v>978</v>
      </c>
    </row>
    <row r="542" spans="1:6" hidden="1">
      <c r="A542" s="185" t="s">
        <v>983</v>
      </c>
      <c r="E542" s="178">
        <v>749354</v>
      </c>
      <c r="F542" s="178" t="s">
        <v>948</v>
      </c>
    </row>
    <row r="543" spans="1:6" hidden="1">
      <c r="A543" s="185" t="s">
        <v>984</v>
      </c>
      <c r="E543" s="178">
        <v>200000</v>
      </c>
      <c r="F543" s="178" t="s">
        <v>948</v>
      </c>
    </row>
    <row r="544" spans="1:6" hidden="1">
      <c r="A544" s="185" t="s">
        <v>985</v>
      </c>
      <c r="E544" s="178">
        <v>500000</v>
      </c>
      <c r="F544" s="178" t="s">
        <v>986</v>
      </c>
    </row>
    <row r="545" spans="1:8" hidden="1">
      <c r="A545" s="185" t="s">
        <v>987</v>
      </c>
      <c r="E545" s="178">
        <v>500000</v>
      </c>
      <c r="F545" s="178" t="s">
        <v>986</v>
      </c>
    </row>
    <row r="546" spans="1:8" hidden="1">
      <c r="A546" s="185" t="s">
        <v>988</v>
      </c>
      <c r="E546" s="178">
        <v>500000</v>
      </c>
      <c r="F546" s="178" t="s">
        <v>986</v>
      </c>
    </row>
    <row r="547" spans="1:8" hidden="1">
      <c r="A547" s="185" t="s">
        <v>989</v>
      </c>
      <c r="E547" s="178">
        <v>1500000</v>
      </c>
      <c r="F547" s="178" t="s">
        <v>990</v>
      </c>
    </row>
    <row r="548" spans="1:8" hidden="1">
      <c r="A548" s="185" t="s">
        <v>991</v>
      </c>
      <c r="E548" s="178">
        <v>2012815</v>
      </c>
      <c r="F548" s="178" t="s">
        <v>992</v>
      </c>
    </row>
    <row r="549" spans="1:8" hidden="1">
      <c r="A549" s="185" t="s">
        <v>993</v>
      </c>
      <c r="E549" s="178">
        <v>900000</v>
      </c>
      <c r="F549" s="178" t="s">
        <v>992</v>
      </c>
    </row>
    <row r="550" spans="1:8" hidden="1">
      <c r="A550" s="185" t="s">
        <v>994</v>
      </c>
      <c r="E550" s="178">
        <v>1320000</v>
      </c>
      <c r="F550" s="178" t="s">
        <v>992</v>
      </c>
    </row>
    <row r="551" spans="1:8" hidden="1">
      <c r="A551" s="185" t="s">
        <v>995</v>
      </c>
      <c r="E551" s="178">
        <v>67973</v>
      </c>
      <c r="F551" s="178" t="s">
        <v>992</v>
      </c>
    </row>
    <row r="552" spans="1:8" hidden="1">
      <c r="A552" s="185" t="s">
        <v>996</v>
      </c>
      <c r="E552" s="178">
        <v>44662</v>
      </c>
      <c r="F552" s="178" t="s">
        <v>997</v>
      </c>
    </row>
    <row r="553" spans="1:8" hidden="1"/>
    <row r="554" spans="1:8" hidden="1">
      <c r="E554" s="194">
        <v>100000</v>
      </c>
      <c r="F554" s="194" t="s">
        <v>992</v>
      </c>
      <c r="G554" s="194"/>
      <c r="H554" s="426" t="s">
        <v>460</v>
      </c>
    </row>
    <row r="555" spans="1:8" hidden="1">
      <c r="E555" s="194">
        <v>140000</v>
      </c>
      <c r="F555" s="194" t="s">
        <v>992</v>
      </c>
      <c r="G555" s="194"/>
      <c r="H555" s="426" t="s">
        <v>482</v>
      </c>
    </row>
    <row r="556" spans="1:8" hidden="1">
      <c r="B556" s="180" t="s">
        <v>13</v>
      </c>
      <c r="E556" s="194">
        <v>112000</v>
      </c>
      <c r="F556" s="194" t="s">
        <v>992</v>
      </c>
      <c r="G556" s="194"/>
      <c r="H556" s="426" t="s">
        <v>494</v>
      </c>
    </row>
    <row r="557" spans="1:8" hidden="1">
      <c r="B557" s="180" t="s">
        <v>33</v>
      </c>
      <c r="E557" s="194">
        <v>176059</v>
      </c>
      <c r="F557" s="194" t="s">
        <v>990</v>
      </c>
      <c r="G557" s="194"/>
      <c r="H557" s="426" t="s">
        <v>487</v>
      </c>
    </row>
    <row r="558" spans="1:8" hidden="1">
      <c r="B558" s="180" t="s">
        <v>59</v>
      </c>
      <c r="E558" s="194">
        <v>336000</v>
      </c>
      <c r="F558" s="194" t="s">
        <v>992</v>
      </c>
      <c r="G558" s="194"/>
      <c r="H558" s="426" t="s">
        <v>998</v>
      </c>
    </row>
    <row r="559" spans="1:8" hidden="1">
      <c r="B559" s="180" t="s">
        <v>5</v>
      </c>
      <c r="C559" s="195"/>
      <c r="E559" s="194">
        <v>150000</v>
      </c>
      <c r="F559" s="194" t="s">
        <v>992</v>
      </c>
      <c r="G559" s="194"/>
      <c r="H559" s="426" t="s">
        <v>491</v>
      </c>
    </row>
    <row r="560" spans="1:8" hidden="1">
      <c r="E560" s="194">
        <v>66000</v>
      </c>
      <c r="F560" s="194" t="s">
        <v>992</v>
      </c>
      <c r="G560" s="194"/>
      <c r="H560" s="426" t="s">
        <v>999</v>
      </c>
    </row>
    <row r="561" spans="5:9" hidden="1">
      <c r="E561" s="194">
        <v>151002</v>
      </c>
      <c r="F561" s="194" t="s">
        <v>992</v>
      </c>
      <c r="G561" s="194"/>
      <c r="H561" s="426" t="s">
        <v>478</v>
      </c>
    </row>
    <row r="562" spans="5:9" hidden="1">
      <c r="E562" s="196">
        <v>1000000</v>
      </c>
      <c r="F562" s="196" t="s">
        <v>986</v>
      </c>
      <c r="G562" s="196"/>
      <c r="H562" s="427" t="s">
        <v>450</v>
      </c>
    </row>
    <row r="563" spans="5:9" hidden="1">
      <c r="E563" s="196">
        <v>250000</v>
      </c>
      <c r="F563" s="196" t="s">
        <v>986</v>
      </c>
      <c r="G563" s="196"/>
      <c r="H563" s="427" t="s">
        <v>1000</v>
      </c>
    </row>
    <row r="564" spans="5:9" hidden="1">
      <c r="E564" s="197">
        <v>210000</v>
      </c>
      <c r="F564" s="197" t="s">
        <v>992</v>
      </c>
      <c r="G564" s="197"/>
      <c r="H564" s="428" t="s">
        <v>571</v>
      </c>
    </row>
    <row r="565" spans="5:9" hidden="1">
      <c r="E565" s="197">
        <v>50000</v>
      </c>
      <c r="F565" s="197" t="s">
        <v>992</v>
      </c>
      <c r="G565" s="197"/>
      <c r="H565" s="428" t="s">
        <v>590</v>
      </c>
    </row>
    <row r="566" spans="5:9" hidden="1">
      <c r="E566" s="197">
        <v>58000</v>
      </c>
      <c r="F566" s="197" t="s">
        <v>992</v>
      </c>
      <c r="G566" s="197"/>
      <c r="H566" s="428" t="s">
        <v>573</v>
      </c>
    </row>
    <row r="567" spans="5:9" hidden="1">
      <c r="E567" s="197">
        <v>322560</v>
      </c>
      <c r="F567" s="197" t="s">
        <v>992</v>
      </c>
      <c r="G567" s="197"/>
      <c r="H567" s="428" t="s">
        <v>1001</v>
      </c>
    </row>
    <row r="568" spans="5:9" hidden="1">
      <c r="E568" s="195">
        <v>218400</v>
      </c>
      <c r="F568" s="195" t="s">
        <v>992</v>
      </c>
      <c r="G568" s="195"/>
      <c r="H568" s="429" t="s">
        <v>425</v>
      </c>
    </row>
    <row r="569" spans="5:9" hidden="1">
      <c r="E569" s="198">
        <v>2075292</v>
      </c>
      <c r="F569" s="198"/>
      <c r="G569" s="198"/>
      <c r="H569" s="430" t="s">
        <v>337</v>
      </c>
    </row>
    <row r="570" spans="5:9" hidden="1">
      <c r="E570" s="198">
        <v>1500000</v>
      </c>
      <c r="F570" s="198"/>
      <c r="G570" s="198"/>
      <c r="H570" s="430" t="s">
        <v>346</v>
      </c>
    </row>
    <row r="571" spans="5:9" hidden="1">
      <c r="E571" s="198">
        <v>2027025</v>
      </c>
      <c r="F571" s="198"/>
      <c r="G571" s="198"/>
      <c r="H571" s="430" t="s">
        <v>338</v>
      </c>
    </row>
    <row r="572" spans="5:9">
      <c r="I572" s="183"/>
    </row>
    <row r="574" spans="5:9">
      <c r="I574" s="183"/>
    </row>
    <row r="575" spans="5:9">
      <c r="F575" s="183"/>
      <c r="G575" s="183"/>
    </row>
    <row r="576" spans="5:9">
      <c r="I576" s="183"/>
    </row>
  </sheetData>
  <mergeCells count="2">
    <mergeCell ref="A1:I1"/>
    <mergeCell ref="A2:I2"/>
  </mergeCells>
  <pageMargins left="0.72" right="0.23" top="0.27" bottom="0" header="0.27" footer="0"/>
  <pageSetup paperSize="9" scale="70" orientation="landscape" r:id="rId1"/>
  <headerFooter alignWithMargins="0"/>
  <legacyDrawing r:id="rId2"/>
</worksheet>
</file>

<file path=xl/worksheets/sheet12.xml><?xml version="1.0" encoding="utf-8"?>
<worksheet xmlns="http://schemas.openxmlformats.org/spreadsheetml/2006/main" xmlns:r="http://schemas.openxmlformats.org/officeDocument/2006/relationships">
  <sheetPr codeName="Sheet12"/>
  <dimension ref="A1:P149"/>
  <sheetViews>
    <sheetView showGridLines="0" zoomScale="115" zoomScaleNormal="115" workbookViewId="0">
      <selection activeCell="C14" sqref="C14"/>
    </sheetView>
  </sheetViews>
  <sheetFormatPr defaultRowHeight="12.75"/>
  <cols>
    <col min="1" max="1" width="4.140625" customWidth="1"/>
    <col min="2" max="2" width="3.85546875" bestFit="1" customWidth="1"/>
    <col min="3" max="3" width="44.28515625" bestFit="1" customWidth="1"/>
    <col min="4" max="4" width="25.85546875" bestFit="1" customWidth="1"/>
    <col min="5" max="5" width="16.85546875" customWidth="1"/>
    <col min="6" max="14" width="9.140625" hidden="1" customWidth="1"/>
    <col min="15" max="15" width="13.28515625" bestFit="1" customWidth="1"/>
  </cols>
  <sheetData>
    <row r="1" spans="1:7" ht="23.25">
      <c r="A1" s="366" t="s">
        <v>41</v>
      </c>
      <c r="B1" s="367"/>
      <c r="C1" s="367"/>
      <c r="D1" s="368"/>
      <c r="E1" s="30"/>
    </row>
    <row r="2" spans="1:7" ht="18.75">
      <c r="A2" s="375" t="s">
        <v>1047</v>
      </c>
      <c r="B2" s="376"/>
      <c r="C2" s="376"/>
      <c r="D2" s="377"/>
      <c r="E2" s="20"/>
      <c r="F2" s="10"/>
    </row>
    <row r="3" spans="1:7" ht="22.5">
      <c r="A3" s="378" t="s">
        <v>111</v>
      </c>
      <c r="B3" s="379"/>
      <c r="C3" s="379"/>
      <c r="D3" s="380"/>
      <c r="E3" s="21"/>
    </row>
    <row r="4" spans="1:7" ht="20.25">
      <c r="A4" s="354" t="s">
        <v>66</v>
      </c>
      <c r="B4" s="355"/>
      <c r="C4" s="364" t="s">
        <v>40</v>
      </c>
      <c r="D4" s="31" t="s">
        <v>31</v>
      </c>
      <c r="E4" s="22" t="s">
        <v>3</v>
      </c>
      <c r="F4" s="1"/>
      <c r="G4" s="1"/>
    </row>
    <row r="5" spans="1:7" ht="20.25" customHeight="1">
      <c r="A5" s="356"/>
      <c r="B5" s="357"/>
      <c r="C5" s="365"/>
      <c r="D5" s="110" t="s">
        <v>105</v>
      </c>
      <c r="E5" s="22"/>
      <c r="F5" s="1"/>
      <c r="G5" s="1"/>
    </row>
    <row r="6" spans="1:7" ht="24.95" customHeight="1">
      <c r="A6" s="142"/>
      <c r="B6" s="174">
        <v>1</v>
      </c>
      <c r="C6" s="174" t="s">
        <v>163</v>
      </c>
      <c r="D6" s="175">
        <v>699.66</v>
      </c>
      <c r="E6" s="18"/>
      <c r="F6" s="5"/>
      <c r="G6" s="9"/>
    </row>
    <row r="7" spans="1:7" ht="24.95" customHeight="1">
      <c r="A7" s="142"/>
      <c r="B7" s="174">
        <v>2</v>
      </c>
      <c r="C7" s="174" t="s">
        <v>1016</v>
      </c>
      <c r="D7" s="175">
        <v>571.36</v>
      </c>
      <c r="E7" s="7"/>
      <c r="F7" s="5"/>
      <c r="G7" s="9"/>
    </row>
    <row r="8" spans="1:7" ht="24.95" customHeight="1">
      <c r="A8" s="142"/>
      <c r="B8" s="174">
        <v>3</v>
      </c>
      <c r="C8" s="174" t="s">
        <v>84</v>
      </c>
      <c r="D8" s="175">
        <v>408.41</v>
      </c>
    </row>
    <row r="9" spans="1:7" ht="24.95" customHeight="1">
      <c r="A9" s="142"/>
      <c r="B9" s="174">
        <v>4</v>
      </c>
      <c r="C9" s="269" t="s">
        <v>239</v>
      </c>
      <c r="D9" s="175">
        <v>344.66</v>
      </c>
      <c r="F9" s="5"/>
      <c r="G9" s="9"/>
    </row>
    <row r="10" spans="1:7" ht="24.95" customHeight="1">
      <c r="A10" s="142"/>
      <c r="B10" s="174">
        <v>5</v>
      </c>
      <c r="C10" s="174" t="s">
        <v>181</v>
      </c>
      <c r="D10" s="175">
        <v>322.70999999999998</v>
      </c>
      <c r="E10" s="15"/>
    </row>
    <row r="11" spans="1:7" ht="24.95" customHeight="1">
      <c r="A11" s="142"/>
      <c r="B11" s="174">
        <v>6</v>
      </c>
      <c r="C11" s="174" t="s">
        <v>182</v>
      </c>
      <c r="D11" s="175">
        <v>308.22000000000003</v>
      </c>
      <c r="E11" s="7"/>
    </row>
    <row r="12" spans="1:7" ht="24.95" customHeight="1">
      <c r="A12" s="142"/>
      <c r="B12" s="174">
        <v>7</v>
      </c>
      <c r="C12" s="174" t="s">
        <v>85</v>
      </c>
      <c r="D12" s="175">
        <v>271.55</v>
      </c>
      <c r="E12" s="7"/>
    </row>
    <row r="13" spans="1:7" ht="24.95" customHeight="1">
      <c r="A13" s="142"/>
      <c r="B13" s="174">
        <v>8</v>
      </c>
      <c r="C13" s="174" t="s">
        <v>1050</v>
      </c>
      <c r="D13" s="175">
        <v>251.11</v>
      </c>
      <c r="E13" s="15"/>
    </row>
    <row r="14" spans="1:7" ht="24.95" customHeight="1">
      <c r="A14" s="142"/>
      <c r="B14" s="174">
        <v>9</v>
      </c>
      <c r="C14" s="174" t="s">
        <v>1051</v>
      </c>
      <c r="D14" s="175">
        <v>238.78</v>
      </c>
      <c r="E14" s="15"/>
    </row>
    <row r="15" spans="1:7" ht="24.95" customHeight="1">
      <c r="A15" s="142"/>
      <c r="B15" s="174">
        <v>10</v>
      </c>
      <c r="C15" s="173" t="s">
        <v>1052</v>
      </c>
      <c r="D15" s="175">
        <v>231.52</v>
      </c>
      <c r="E15" s="15"/>
    </row>
    <row r="16" spans="1:7" ht="20.25">
      <c r="A16" s="8"/>
      <c r="B16" s="58"/>
      <c r="C16" s="33" t="s">
        <v>3</v>
      </c>
      <c r="D16" s="46"/>
      <c r="E16" s="8"/>
    </row>
    <row r="17" spans="2:3" ht="20.25">
      <c r="B17" s="4"/>
      <c r="C17" s="33" t="s">
        <v>3</v>
      </c>
    </row>
    <row r="18" spans="2:3" ht="18.75">
      <c r="B18" s="4"/>
      <c r="C18" s="5"/>
    </row>
    <row r="19" spans="2:3" ht="18.75">
      <c r="B19" s="4"/>
      <c r="C19" s="5"/>
    </row>
    <row r="20" spans="2:3" ht="18.75">
      <c r="B20" s="4"/>
      <c r="C20" s="5"/>
    </row>
    <row r="21" spans="2:3" ht="18.75">
      <c r="B21" s="4"/>
      <c r="C21" s="5"/>
    </row>
    <row r="22" spans="2:3" ht="18.75">
      <c r="B22" s="4"/>
      <c r="C22" s="6"/>
    </row>
    <row r="23" spans="2:3" ht="18.75">
      <c r="B23" s="4"/>
      <c r="C23" s="5"/>
    </row>
    <row r="24" spans="2:3" ht="18.75">
      <c r="B24" s="4"/>
      <c r="C24" s="5"/>
    </row>
    <row r="25" spans="2:3" ht="18.75">
      <c r="B25" s="4"/>
      <c r="C25" s="5"/>
    </row>
    <row r="26" spans="2:3" ht="18.75">
      <c r="B26" s="4"/>
      <c r="C26" s="5"/>
    </row>
    <row r="27" spans="2:3" ht="18.75">
      <c r="B27" s="4"/>
      <c r="C27" s="5"/>
    </row>
    <row r="28" spans="2:3" ht="18.75">
      <c r="B28" s="4"/>
      <c r="C28" s="5"/>
    </row>
    <row r="29" spans="2:3" ht="18.75">
      <c r="B29" s="4"/>
      <c r="C29" s="5"/>
    </row>
    <row r="30" spans="2:3" ht="18.75">
      <c r="B30" s="4"/>
      <c r="C30" s="5"/>
    </row>
    <row r="31" spans="2:3">
      <c r="B31" s="2"/>
    </row>
    <row r="32" spans="2:3">
      <c r="B32" s="2"/>
    </row>
    <row r="33" spans="1:5">
      <c r="B33" s="2"/>
    </row>
    <row r="34" spans="1:5" ht="25.15" customHeight="1">
      <c r="B34" s="2"/>
    </row>
    <row r="35" spans="1:5" ht="25.15" customHeight="1">
      <c r="B35" s="2"/>
    </row>
    <row r="36" spans="1:5" ht="36" customHeight="1">
      <c r="B36" s="2"/>
    </row>
    <row r="37" spans="1:5" ht="24.6" customHeight="1">
      <c r="A37" s="369" t="s">
        <v>159</v>
      </c>
      <c r="B37" s="370"/>
      <c r="C37" s="370"/>
      <c r="D37" s="371"/>
      <c r="E37" s="15"/>
    </row>
    <row r="38" spans="1:5" ht="20.25" customHeight="1">
      <c r="A38" s="354" t="s">
        <v>66</v>
      </c>
      <c r="B38" s="355"/>
      <c r="C38" s="364" t="s">
        <v>40</v>
      </c>
      <c r="D38" s="34" t="s">
        <v>43</v>
      </c>
      <c r="E38" s="23"/>
    </row>
    <row r="39" spans="1:5" ht="18.75">
      <c r="A39" s="356"/>
      <c r="B39" s="357"/>
      <c r="C39" s="365"/>
      <c r="D39" s="112" t="s">
        <v>44</v>
      </c>
      <c r="E39" s="24"/>
    </row>
    <row r="40" spans="1:5" ht="24.95" customHeight="1">
      <c r="A40" s="142"/>
      <c r="B40" s="174">
        <v>1</v>
      </c>
      <c r="C40" s="174" t="s">
        <v>217</v>
      </c>
      <c r="D40" s="175">
        <v>1672.61</v>
      </c>
      <c r="E40" s="25"/>
    </row>
    <row r="41" spans="1:5" ht="24.95" customHeight="1">
      <c r="A41" s="142"/>
      <c r="B41" s="174">
        <v>2</v>
      </c>
      <c r="C41" s="174" t="s">
        <v>1016</v>
      </c>
      <c r="D41" s="175">
        <v>1624.74</v>
      </c>
      <c r="E41" s="16"/>
    </row>
    <row r="42" spans="1:5" ht="24.95" customHeight="1">
      <c r="A42" s="142"/>
      <c r="B42" s="174">
        <v>3</v>
      </c>
      <c r="C42" s="174" t="s">
        <v>163</v>
      </c>
      <c r="D42" s="175">
        <v>1099.3900000000001</v>
      </c>
      <c r="E42" s="16"/>
    </row>
    <row r="43" spans="1:5" ht="24.95" customHeight="1">
      <c r="A43" s="142"/>
      <c r="B43" s="174">
        <v>4</v>
      </c>
      <c r="C43" s="174" t="s">
        <v>1053</v>
      </c>
      <c r="D43" s="175">
        <v>888.89</v>
      </c>
      <c r="E43" s="16"/>
    </row>
    <row r="44" spans="1:5" ht="24.95" customHeight="1">
      <c r="A44" s="142"/>
      <c r="B44" s="174">
        <v>5</v>
      </c>
      <c r="C44" s="174" t="s">
        <v>84</v>
      </c>
      <c r="D44" s="175">
        <v>779.61</v>
      </c>
      <c r="E44" s="16"/>
    </row>
    <row r="45" spans="1:5" ht="24.95" customHeight="1">
      <c r="A45" s="142"/>
      <c r="B45" s="174">
        <v>6</v>
      </c>
      <c r="C45" s="174" t="s">
        <v>182</v>
      </c>
      <c r="D45" s="175">
        <v>732.86</v>
      </c>
      <c r="E45" s="111"/>
    </row>
    <row r="46" spans="1:5" ht="24.95" customHeight="1">
      <c r="A46" s="142"/>
      <c r="B46" s="174">
        <v>7</v>
      </c>
      <c r="C46" s="174" t="s">
        <v>287</v>
      </c>
      <c r="D46" s="175">
        <v>730.77</v>
      </c>
      <c r="E46" s="16"/>
    </row>
    <row r="47" spans="1:5" ht="24.95" customHeight="1">
      <c r="A47" s="142"/>
      <c r="B47" s="174">
        <v>8</v>
      </c>
      <c r="C47" s="174" t="s">
        <v>181</v>
      </c>
      <c r="D47" s="175">
        <v>635.04999999999995</v>
      </c>
      <c r="E47" s="16"/>
    </row>
    <row r="48" spans="1:5" ht="24.95" customHeight="1">
      <c r="A48" s="142"/>
      <c r="B48" s="174">
        <v>9</v>
      </c>
      <c r="C48" s="143" t="s">
        <v>1052</v>
      </c>
      <c r="D48" s="175">
        <v>539.49</v>
      </c>
      <c r="E48" s="16"/>
    </row>
    <row r="49" spans="1:5" ht="24.95" customHeight="1">
      <c r="A49" s="142"/>
      <c r="B49" s="174">
        <v>10</v>
      </c>
      <c r="C49" s="174" t="s">
        <v>1050</v>
      </c>
      <c r="D49" s="175">
        <v>530.36</v>
      </c>
      <c r="E49" s="16"/>
    </row>
    <row r="50" spans="1:5" ht="20.25">
      <c r="A50" s="8" t="s">
        <v>3</v>
      </c>
      <c r="B50" s="8"/>
      <c r="C50" s="33" t="s">
        <v>3</v>
      </c>
      <c r="D50" s="8"/>
    </row>
    <row r="51" spans="1:5">
      <c r="C51" t="s">
        <v>3</v>
      </c>
    </row>
    <row r="74" spans="3:5" ht="20.25" customHeight="1">
      <c r="C74" s="17"/>
      <c r="D74" s="17"/>
      <c r="E74" s="17"/>
    </row>
    <row r="75" spans="3:5" ht="20.25" customHeight="1">
      <c r="C75" s="17"/>
      <c r="D75" s="17"/>
      <c r="E75" s="17"/>
    </row>
    <row r="76" spans="3:5" ht="20.25" customHeight="1">
      <c r="C76" s="17"/>
      <c r="D76" s="17"/>
      <c r="E76" s="17"/>
    </row>
    <row r="77" spans="3:5" ht="20.25" customHeight="1">
      <c r="C77" s="17"/>
      <c r="D77" s="17"/>
      <c r="E77" s="17"/>
    </row>
    <row r="78" spans="3:5" ht="20.25" customHeight="1">
      <c r="C78" s="17"/>
      <c r="D78" s="17"/>
      <c r="E78" s="17"/>
    </row>
    <row r="79" spans="3:5" ht="20.25" customHeight="1">
      <c r="C79" s="17"/>
      <c r="D79" s="17"/>
      <c r="E79" s="17"/>
    </row>
    <row r="80" spans="3:5" ht="20.25" customHeight="1">
      <c r="C80" s="17"/>
      <c r="D80" s="17"/>
      <c r="E80" s="17"/>
    </row>
    <row r="81" spans="1:5" ht="22.5">
      <c r="A81" s="369" t="s">
        <v>160</v>
      </c>
      <c r="B81" s="370"/>
      <c r="C81" s="370"/>
      <c r="D81" s="371"/>
      <c r="E81" s="26"/>
    </row>
    <row r="82" spans="1:5" ht="20.25">
      <c r="A82" s="354" t="s">
        <v>66</v>
      </c>
      <c r="B82" s="355"/>
      <c r="C82" s="364" t="s">
        <v>40</v>
      </c>
      <c r="D82" s="31" t="s">
        <v>42</v>
      </c>
      <c r="E82" s="27"/>
    </row>
    <row r="83" spans="1:5" ht="18.75" customHeight="1">
      <c r="A83" s="358"/>
      <c r="B83" s="359"/>
      <c r="C83" s="365"/>
      <c r="D83" s="114"/>
      <c r="E83" s="19"/>
    </row>
    <row r="84" spans="1:5" ht="24.95" customHeight="1">
      <c r="A84" s="142"/>
      <c r="B84" s="143">
        <v>1</v>
      </c>
      <c r="C84" s="143" t="s">
        <v>286</v>
      </c>
      <c r="D84" s="141">
        <v>3063</v>
      </c>
    </row>
    <row r="85" spans="1:5" ht="24.95" customHeight="1">
      <c r="A85" s="142"/>
      <c r="B85" s="143">
        <v>2</v>
      </c>
      <c r="C85" s="143" t="s">
        <v>150</v>
      </c>
      <c r="D85" s="141">
        <v>2937</v>
      </c>
      <c r="E85" s="7"/>
    </row>
    <row r="86" spans="1:5" ht="24.95" customHeight="1">
      <c r="A86" s="142"/>
      <c r="B86" s="143">
        <v>3</v>
      </c>
      <c r="C86" s="143" t="s">
        <v>163</v>
      </c>
      <c r="D86" s="141">
        <v>2184</v>
      </c>
      <c r="E86" s="7"/>
    </row>
    <row r="87" spans="1:5" ht="24.95" customHeight="1">
      <c r="A87" s="142"/>
      <c r="B87" s="143">
        <v>4</v>
      </c>
      <c r="C87" s="143" t="s">
        <v>239</v>
      </c>
      <c r="D87" s="141">
        <v>1742</v>
      </c>
      <c r="E87" s="7"/>
    </row>
    <row r="88" spans="1:5" ht="24.95" customHeight="1">
      <c r="A88" s="142"/>
      <c r="B88" s="143">
        <v>5</v>
      </c>
      <c r="C88" s="269" t="s">
        <v>321</v>
      </c>
      <c r="D88" s="141">
        <v>1723</v>
      </c>
      <c r="E88" s="7"/>
    </row>
    <row r="89" spans="1:5" ht="24.95" customHeight="1">
      <c r="A89" s="142"/>
      <c r="B89" s="143">
        <v>6</v>
      </c>
      <c r="C89" s="174" t="s">
        <v>1016</v>
      </c>
      <c r="D89" s="141">
        <v>1684</v>
      </c>
      <c r="E89" s="7"/>
    </row>
    <row r="90" spans="1:5" ht="24.95" customHeight="1">
      <c r="A90" s="142"/>
      <c r="B90" s="143">
        <v>7</v>
      </c>
      <c r="C90" s="174" t="s">
        <v>84</v>
      </c>
      <c r="D90" s="141">
        <v>1622</v>
      </c>
      <c r="E90" s="7"/>
    </row>
    <row r="91" spans="1:5" ht="24.95" customHeight="1">
      <c r="A91" s="142"/>
      <c r="B91" s="143">
        <v>8</v>
      </c>
      <c r="C91" s="143" t="s">
        <v>1054</v>
      </c>
      <c r="D91" s="141">
        <v>1620</v>
      </c>
      <c r="E91" s="7"/>
    </row>
    <row r="92" spans="1:5" ht="24.95" customHeight="1">
      <c r="A92" s="142"/>
      <c r="B92" s="143">
        <v>9</v>
      </c>
      <c r="C92" s="143" t="s">
        <v>310</v>
      </c>
      <c r="D92" s="141">
        <v>1577</v>
      </c>
      <c r="E92" s="7"/>
    </row>
    <row r="93" spans="1:5" ht="24.95" customHeight="1">
      <c r="A93" s="142"/>
      <c r="B93" s="143">
        <v>10</v>
      </c>
      <c r="C93" s="174" t="s">
        <v>182</v>
      </c>
      <c r="D93" s="141">
        <v>1472</v>
      </c>
    </row>
    <row r="94" spans="1:5">
      <c r="C94" t="s">
        <v>3</v>
      </c>
    </row>
    <row r="124" spans="1:16" ht="22.5">
      <c r="A124" s="372" t="s">
        <v>112</v>
      </c>
      <c r="B124" s="373"/>
      <c r="C124" s="373"/>
      <c r="D124" s="374"/>
      <c r="E124" s="26"/>
    </row>
    <row r="125" spans="1:16" ht="22.5">
      <c r="A125" s="360" t="s">
        <v>66</v>
      </c>
      <c r="B125" s="361"/>
      <c r="C125" s="352" t="s">
        <v>40</v>
      </c>
      <c r="D125" s="60" t="s">
        <v>38</v>
      </c>
      <c r="E125" s="26"/>
    </row>
    <row r="126" spans="1:16" ht="20.25" customHeight="1">
      <c r="A126" s="362"/>
      <c r="B126" s="363"/>
      <c r="C126" s="353"/>
      <c r="D126" s="61" t="s">
        <v>45</v>
      </c>
      <c r="E126" s="26"/>
    </row>
    <row r="127" spans="1:16" ht="24.95" customHeight="1">
      <c r="A127" s="47"/>
      <c r="B127" s="156">
        <v>1</v>
      </c>
      <c r="C127" s="156" t="s">
        <v>125</v>
      </c>
      <c r="D127" s="172">
        <v>10500</v>
      </c>
      <c r="E127" s="7"/>
      <c r="F127" s="7"/>
      <c r="G127" s="7"/>
      <c r="H127" s="7"/>
      <c r="I127" s="7"/>
      <c r="J127" s="7"/>
      <c r="K127" s="7"/>
      <c r="L127" s="7"/>
      <c r="M127" s="7"/>
      <c r="N127" s="7"/>
      <c r="O127" s="7"/>
      <c r="P127" s="7"/>
    </row>
    <row r="128" spans="1:16" ht="24.95" customHeight="1">
      <c r="A128" s="47"/>
      <c r="B128" s="156">
        <v>2</v>
      </c>
      <c r="C128" s="156" t="s">
        <v>35</v>
      </c>
      <c r="D128" s="172">
        <v>67622.350000000006</v>
      </c>
      <c r="E128" s="7"/>
      <c r="F128" s="7"/>
      <c r="G128" s="7"/>
      <c r="H128" s="7"/>
      <c r="I128" s="7"/>
      <c r="J128" s="7"/>
      <c r="K128" s="7"/>
      <c r="L128" s="7"/>
      <c r="M128" s="7"/>
      <c r="N128" s="7"/>
      <c r="O128" s="7"/>
      <c r="P128" s="7"/>
    </row>
    <row r="129" spans="1:16" ht="24.95" customHeight="1">
      <c r="A129" s="47"/>
      <c r="B129" s="156">
        <v>3</v>
      </c>
      <c r="C129" s="156" t="s">
        <v>34</v>
      </c>
      <c r="D129" s="172">
        <v>41862.57</v>
      </c>
      <c r="E129" s="7"/>
      <c r="F129" s="7"/>
      <c r="G129" s="7"/>
      <c r="H129" s="7"/>
      <c r="I129" s="7"/>
      <c r="J129" s="7"/>
      <c r="K129" s="7"/>
      <c r="L129" s="7"/>
      <c r="M129" s="7"/>
      <c r="N129" s="7"/>
      <c r="O129" s="7"/>
      <c r="P129" s="7"/>
    </row>
    <row r="130" spans="1:16" ht="24.95" customHeight="1">
      <c r="A130" s="142"/>
      <c r="B130" s="156">
        <v>4</v>
      </c>
      <c r="C130" s="156" t="s">
        <v>36</v>
      </c>
      <c r="D130" s="270">
        <v>39786.547899999998</v>
      </c>
      <c r="E130" s="7"/>
      <c r="F130" s="7"/>
      <c r="G130" s="7"/>
      <c r="H130" s="7"/>
      <c r="I130" s="7"/>
      <c r="J130" s="7"/>
      <c r="K130" s="7"/>
      <c r="L130" s="7"/>
      <c r="M130" s="7"/>
      <c r="N130" s="7"/>
      <c r="O130" s="7"/>
      <c r="P130" s="7"/>
    </row>
    <row r="131" spans="1:16" ht="24.95" customHeight="1">
      <c r="A131" s="142"/>
      <c r="B131" s="156">
        <v>5</v>
      </c>
      <c r="C131" s="156" t="s">
        <v>32</v>
      </c>
      <c r="D131" s="270">
        <v>38923.3819</v>
      </c>
      <c r="E131" s="7"/>
      <c r="F131" s="7"/>
      <c r="G131" s="7"/>
      <c r="H131" s="7"/>
      <c r="I131" s="7"/>
      <c r="J131" s="7"/>
      <c r="K131" s="7"/>
      <c r="L131" s="7"/>
      <c r="M131" s="7"/>
      <c r="N131" s="7"/>
      <c r="O131" s="7"/>
      <c r="P131" s="7"/>
    </row>
    <row r="132" spans="1:16" ht="24.95" customHeight="1">
      <c r="A132" s="142"/>
      <c r="B132" s="156">
        <v>6</v>
      </c>
      <c r="C132" s="156" t="s">
        <v>85</v>
      </c>
      <c r="D132" s="270">
        <v>34320.249600000003</v>
      </c>
      <c r="E132" s="7"/>
      <c r="F132" s="7"/>
      <c r="G132" s="7"/>
      <c r="H132" s="7"/>
      <c r="I132" s="7"/>
      <c r="J132" s="7"/>
      <c r="K132" s="7"/>
      <c r="L132" s="7"/>
      <c r="M132" s="7"/>
      <c r="N132" s="7"/>
      <c r="O132" s="7"/>
      <c r="P132" s="7"/>
    </row>
    <row r="133" spans="1:16" ht="24.95" customHeight="1">
      <c r="A133" s="142"/>
      <c r="B133" s="156">
        <v>7</v>
      </c>
      <c r="C133" s="156" t="s">
        <v>7</v>
      </c>
      <c r="D133" s="270">
        <v>29528.004225000001</v>
      </c>
      <c r="E133" s="7"/>
      <c r="F133" s="7"/>
      <c r="G133" s="7"/>
      <c r="H133" s="7"/>
      <c r="I133" s="7"/>
      <c r="J133" s="7"/>
      <c r="K133" s="7"/>
      <c r="L133" s="7"/>
      <c r="M133" s="7"/>
      <c r="N133" s="7"/>
      <c r="O133" s="7"/>
      <c r="P133" s="7"/>
    </row>
    <row r="134" spans="1:16" ht="24.95" customHeight="1">
      <c r="A134" s="142"/>
      <c r="B134" s="156">
        <v>8</v>
      </c>
      <c r="C134" s="156" t="s">
        <v>30</v>
      </c>
      <c r="D134" s="270">
        <v>24564</v>
      </c>
      <c r="E134" s="7"/>
      <c r="F134" s="7"/>
      <c r="G134" s="7"/>
      <c r="H134" s="7"/>
      <c r="I134" s="7"/>
      <c r="J134" s="7"/>
      <c r="K134" s="7"/>
      <c r="L134" s="7"/>
      <c r="M134" s="7"/>
      <c r="N134" s="7"/>
      <c r="O134" s="7"/>
      <c r="P134" s="7"/>
    </row>
    <row r="135" spans="1:16" ht="24.95" customHeight="1">
      <c r="A135" s="144"/>
      <c r="B135" s="156">
        <v>9</v>
      </c>
      <c r="C135" s="156" t="s">
        <v>86</v>
      </c>
      <c r="D135" s="270">
        <v>22631.25</v>
      </c>
      <c r="E135" s="7"/>
      <c r="F135" s="7"/>
      <c r="G135" s="7"/>
      <c r="H135" s="7"/>
      <c r="I135" s="7"/>
      <c r="J135" s="7"/>
      <c r="K135" s="7"/>
      <c r="L135" s="7"/>
      <c r="M135" s="7"/>
      <c r="N135" s="7"/>
      <c r="O135" s="7"/>
      <c r="P135" s="7"/>
    </row>
    <row r="136" spans="1:16" ht="24.95" customHeight="1">
      <c r="A136" s="142"/>
      <c r="B136" s="156">
        <v>10</v>
      </c>
      <c r="C136" s="156" t="s">
        <v>236</v>
      </c>
      <c r="D136" s="270">
        <v>18816.03328</v>
      </c>
      <c r="E136" s="7"/>
      <c r="F136" s="7"/>
      <c r="G136" s="7"/>
      <c r="H136" s="7"/>
      <c r="I136" s="7"/>
      <c r="J136" s="7"/>
      <c r="K136" s="7"/>
      <c r="L136" s="7"/>
      <c r="M136" s="7"/>
      <c r="N136" s="7"/>
      <c r="O136" s="7"/>
      <c r="P136" s="7"/>
    </row>
    <row r="137" spans="1:16" ht="20.25">
      <c r="A137" s="3"/>
      <c r="B137" s="35"/>
      <c r="C137" s="32" t="s">
        <v>3</v>
      </c>
      <c r="D137" s="36"/>
      <c r="E137" s="7"/>
      <c r="F137" s="7"/>
      <c r="G137" s="7"/>
      <c r="H137" s="7"/>
      <c r="I137" s="7"/>
      <c r="J137" s="7"/>
      <c r="K137" s="7"/>
      <c r="L137" s="7"/>
      <c r="M137" s="7"/>
      <c r="N137" s="7"/>
      <c r="O137" s="7"/>
      <c r="P137" s="7"/>
    </row>
    <row r="138" spans="1:16" ht="18">
      <c r="E138" s="7"/>
      <c r="F138" s="7"/>
      <c r="G138" s="7"/>
      <c r="H138" s="7"/>
      <c r="I138" s="7"/>
      <c r="J138" s="7"/>
      <c r="K138" s="7"/>
      <c r="L138" s="7"/>
      <c r="M138" s="7"/>
      <c r="N138" s="7"/>
      <c r="O138" s="7"/>
      <c r="P138" s="7"/>
    </row>
    <row r="139" spans="1:16" ht="18">
      <c r="P139" s="7"/>
    </row>
    <row r="140" spans="1:16" ht="18">
      <c r="P140" s="7"/>
    </row>
    <row r="141" spans="1:16" ht="18">
      <c r="P141" s="7"/>
    </row>
    <row r="142" spans="1:16" ht="18">
      <c r="P142" s="7"/>
    </row>
    <row r="143" spans="1:16" ht="18">
      <c r="P143" s="7"/>
    </row>
    <row r="144" spans="1:16" ht="18">
      <c r="P144" s="7"/>
    </row>
    <row r="145" spans="16:16" ht="18">
      <c r="P145" s="7"/>
    </row>
    <row r="146" spans="16:16" ht="18">
      <c r="P146" s="7"/>
    </row>
    <row r="147" spans="16:16" ht="18">
      <c r="P147" s="7"/>
    </row>
    <row r="148" spans="16:16" ht="18">
      <c r="P148" s="7"/>
    </row>
    <row r="149" spans="16:16" ht="18">
      <c r="P149" s="7"/>
    </row>
  </sheetData>
  <mergeCells count="14">
    <mergeCell ref="A1:D1"/>
    <mergeCell ref="A81:D81"/>
    <mergeCell ref="A124:D124"/>
    <mergeCell ref="A2:D2"/>
    <mergeCell ref="A3:D3"/>
    <mergeCell ref="A37:D37"/>
    <mergeCell ref="C4:C5"/>
    <mergeCell ref="A4:B5"/>
    <mergeCell ref="C125:C126"/>
    <mergeCell ref="A38:B39"/>
    <mergeCell ref="A82:B83"/>
    <mergeCell ref="A125:B126"/>
    <mergeCell ref="C38:C39"/>
    <mergeCell ref="C82:C83"/>
  </mergeCells>
  <phoneticPr fontId="0" type="noConversion"/>
  <printOptions gridLinesSet="0"/>
  <pageMargins left="0.25" right="0.25" top="0.68" bottom="0.56000000000000005" header="0.41" footer="0.28999999999999998"/>
  <pageSetup firstPageNumber="20" orientation="portrait" useFirstPageNumber="1" horizontalDpi="180" verticalDpi="180" r:id="rId1"/>
  <headerFooter alignWithMargins="0">
    <oddHeader>&amp;LTable 1.11</oddHeader>
    <oddFooter>&amp;RPage &amp;P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Cumulative data</vt:lpstr>
      <vt:lpstr>Back year's Summary</vt:lpstr>
      <vt:lpstr>Summary Sheet</vt:lpstr>
      <vt:lpstr>Companywise Transaction</vt:lpstr>
      <vt:lpstr>Transaction of Promotor share</vt:lpstr>
      <vt:lpstr>Market Capitalization</vt:lpstr>
      <vt:lpstr>Index</vt:lpstr>
      <vt:lpstr>Sensitive M.Cap</vt:lpstr>
      <vt:lpstr> Sensitive Index</vt:lpstr>
      <vt:lpstr>Float Index</vt:lpstr>
      <vt:lpstr>Monthly Closing Price</vt:lpstr>
      <vt:lpstr>Top Ten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Nepal Stock Exchange</dc:creator>
  <cp:lastModifiedBy>Niranjan Phuyal</cp:lastModifiedBy>
  <cp:lastPrinted>2013-10-24T09:19:57Z</cp:lastPrinted>
  <dcterms:created xsi:type="dcterms:W3CDTF">2002-01-03T18:09:01Z</dcterms:created>
  <dcterms:modified xsi:type="dcterms:W3CDTF">2014-01-28T10:05:56Z</dcterms:modified>
</cp:coreProperties>
</file>
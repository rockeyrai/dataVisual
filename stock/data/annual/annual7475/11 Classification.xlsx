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Reports\Annual Report\207475\207475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0" i="1" l="1"/>
  <c r="I130" i="1"/>
  <c r="G130" i="1"/>
  <c r="E130" i="1"/>
  <c r="K129" i="1"/>
  <c r="I129" i="1"/>
  <c r="G129" i="1"/>
  <c r="E129" i="1"/>
  <c r="K126" i="1"/>
  <c r="I126" i="1"/>
  <c r="G126" i="1"/>
  <c r="E126" i="1"/>
  <c r="K125" i="1"/>
  <c r="I125" i="1"/>
  <c r="G125" i="1"/>
  <c r="E125" i="1"/>
  <c r="K122" i="1"/>
  <c r="I122" i="1"/>
  <c r="G122" i="1"/>
  <c r="E122" i="1"/>
  <c r="K121" i="1"/>
  <c r="I121" i="1"/>
  <c r="G121" i="1"/>
  <c r="E121" i="1"/>
  <c r="K120" i="1"/>
  <c r="I120" i="1"/>
  <c r="G120" i="1"/>
  <c r="E120" i="1"/>
  <c r="K119" i="1"/>
  <c r="I119" i="1"/>
  <c r="G119" i="1"/>
  <c r="E119" i="1"/>
  <c r="K118" i="1"/>
  <c r="I118" i="1"/>
  <c r="G118" i="1"/>
  <c r="E118" i="1"/>
  <c r="K114" i="1"/>
  <c r="I114" i="1"/>
  <c r="G114" i="1"/>
  <c r="E114" i="1"/>
  <c r="K113" i="1"/>
  <c r="I113" i="1"/>
  <c r="G113" i="1"/>
  <c r="E113" i="1"/>
  <c r="K112" i="1"/>
  <c r="I112" i="1"/>
  <c r="G112" i="1"/>
  <c r="E112" i="1"/>
  <c r="K111" i="1"/>
  <c r="I111" i="1"/>
  <c r="G111" i="1"/>
  <c r="E111" i="1"/>
  <c r="K110" i="1"/>
  <c r="I110" i="1"/>
  <c r="G110" i="1"/>
  <c r="E110" i="1"/>
  <c r="K109" i="1"/>
  <c r="I109" i="1"/>
  <c r="G109" i="1"/>
  <c r="E109" i="1"/>
  <c r="K108" i="1"/>
  <c r="I108" i="1"/>
  <c r="G108" i="1"/>
  <c r="E108" i="1"/>
  <c r="K107" i="1"/>
  <c r="I107" i="1"/>
  <c r="G107" i="1"/>
  <c r="E107" i="1"/>
  <c r="K106" i="1"/>
  <c r="I106" i="1"/>
  <c r="G106" i="1"/>
  <c r="E106" i="1"/>
  <c r="K105" i="1"/>
  <c r="I105" i="1"/>
  <c r="G105" i="1"/>
  <c r="E105" i="1"/>
  <c r="K104" i="1"/>
  <c r="I104" i="1"/>
  <c r="G104" i="1"/>
  <c r="E104" i="1"/>
  <c r="K103" i="1"/>
  <c r="I103" i="1"/>
  <c r="G103" i="1"/>
  <c r="E103" i="1"/>
  <c r="K102" i="1"/>
  <c r="I102" i="1"/>
  <c r="G102" i="1"/>
  <c r="E102" i="1"/>
  <c r="K101" i="1"/>
  <c r="I101" i="1"/>
  <c r="G101" i="1"/>
  <c r="E101" i="1"/>
  <c r="K100" i="1"/>
  <c r="I100" i="1"/>
  <c r="G100" i="1"/>
  <c r="E100" i="1"/>
  <c r="K99" i="1"/>
  <c r="I99" i="1"/>
  <c r="G99" i="1"/>
  <c r="E99" i="1"/>
  <c r="K96" i="1"/>
  <c r="I96" i="1"/>
  <c r="G96" i="1"/>
  <c r="E96" i="1"/>
  <c r="K95" i="1"/>
  <c r="I95" i="1"/>
  <c r="G95" i="1"/>
  <c r="E95" i="1"/>
  <c r="K94" i="1"/>
  <c r="I94" i="1"/>
  <c r="G94" i="1"/>
  <c r="E94" i="1"/>
  <c r="K93" i="1"/>
  <c r="I93" i="1"/>
  <c r="G93" i="1"/>
  <c r="E93" i="1"/>
  <c r="K92" i="1"/>
  <c r="I92" i="1"/>
  <c r="G92" i="1"/>
  <c r="E92" i="1"/>
  <c r="K91" i="1"/>
  <c r="I91" i="1"/>
  <c r="G91" i="1"/>
  <c r="E91" i="1"/>
  <c r="K90" i="1"/>
  <c r="I90" i="1"/>
  <c r="G90" i="1"/>
  <c r="E90" i="1"/>
  <c r="K89" i="1"/>
  <c r="I89" i="1"/>
  <c r="G89" i="1"/>
  <c r="E89" i="1"/>
  <c r="K88" i="1"/>
  <c r="I88" i="1"/>
  <c r="G88" i="1"/>
  <c r="E88" i="1"/>
  <c r="K87" i="1"/>
  <c r="I87" i="1"/>
  <c r="G87" i="1"/>
  <c r="E87" i="1"/>
  <c r="K86" i="1"/>
  <c r="I86" i="1"/>
  <c r="G86" i="1"/>
  <c r="E86" i="1"/>
  <c r="K85" i="1"/>
  <c r="I85" i="1"/>
  <c r="G85" i="1"/>
  <c r="E85" i="1"/>
  <c r="K84" i="1"/>
  <c r="I84" i="1"/>
  <c r="G84" i="1"/>
  <c r="E84" i="1"/>
  <c r="K83" i="1"/>
  <c r="I83" i="1"/>
  <c r="G83" i="1"/>
  <c r="E83" i="1"/>
  <c r="K82" i="1"/>
  <c r="I82" i="1"/>
  <c r="G82" i="1"/>
  <c r="E82" i="1"/>
  <c r="K81" i="1"/>
  <c r="I81" i="1"/>
  <c r="G81" i="1"/>
  <c r="E81" i="1"/>
  <c r="K80" i="1"/>
  <c r="I80" i="1"/>
  <c r="G80" i="1"/>
  <c r="E80" i="1"/>
  <c r="K79" i="1"/>
  <c r="I79" i="1"/>
  <c r="G79" i="1"/>
  <c r="E79" i="1"/>
  <c r="K78" i="1"/>
  <c r="I78" i="1"/>
  <c r="G78" i="1"/>
  <c r="E78" i="1"/>
  <c r="K77" i="1"/>
  <c r="I77" i="1"/>
  <c r="G77" i="1"/>
  <c r="E77" i="1"/>
  <c r="K76" i="1"/>
  <c r="I76" i="1"/>
  <c r="G76" i="1"/>
  <c r="E76" i="1"/>
  <c r="K75" i="1"/>
  <c r="I75" i="1"/>
  <c r="G75" i="1"/>
  <c r="E75" i="1"/>
  <c r="K74" i="1"/>
  <c r="I74" i="1"/>
  <c r="G74" i="1"/>
  <c r="E74" i="1"/>
  <c r="K73" i="1"/>
  <c r="I73" i="1"/>
  <c r="G73" i="1"/>
  <c r="E73" i="1"/>
  <c r="K72" i="1"/>
  <c r="I72" i="1"/>
  <c r="G72" i="1"/>
  <c r="E72" i="1"/>
  <c r="K71" i="1"/>
  <c r="I71" i="1"/>
  <c r="G71" i="1"/>
  <c r="E71" i="1"/>
  <c r="K68" i="1"/>
  <c r="I68" i="1"/>
  <c r="G68" i="1"/>
  <c r="E68" i="1"/>
  <c r="K67" i="1"/>
  <c r="I67" i="1"/>
  <c r="G67" i="1"/>
  <c r="E67" i="1"/>
  <c r="K66" i="1"/>
  <c r="I66" i="1"/>
  <c r="G66" i="1"/>
  <c r="E66" i="1"/>
  <c r="K65" i="1"/>
  <c r="I65" i="1"/>
  <c r="G65" i="1"/>
  <c r="E65" i="1"/>
  <c r="K64" i="1"/>
  <c r="I64" i="1"/>
  <c r="G64" i="1"/>
  <c r="E64" i="1"/>
  <c r="K63" i="1"/>
  <c r="I63" i="1"/>
  <c r="G63" i="1"/>
  <c r="E63" i="1"/>
  <c r="K62" i="1"/>
  <c r="I62" i="1"/>
  <c r="G62" i="1"/>
  <c r="E62" i="1"/>
  <c r="K61" i="1"/>
  <c r="I61" i="1"/>
  <c r="G61" i="1"/>
  <c r="E61" i="1"/>
  <c r="K60" i="1"/>
  <c r="I60" i="1"/>
  <c r="G60" i="1"/>
  <c r="E60" i="1"/>
  <c r="K59" i="1"/>
  <c r="I59" i="1"/>
  <c r="G59" i="1"/>
  <c r="E59" i="1"/>
  <c r="K58" i="1"/>
  <c r="I58" i="1"/>
  <c r="G58" i="1"/>
  <c r="E58" i="1"/>
  <c r="K54" i="1"/>
  <c r="I54" i="1"/>
  <c r="G54" i="1"/>
  <c r="E54" i="1"/>
  <c r="K53" i="1"/>
  <c r="I53" i="1"/>
  <c r="G53" i="1"/>
  <c r="E53" i="1"/>
  <c r="K52" i="1"/>
  <c r="I52" i="1"/>
  <c r="G52" i="1"/>
  <c r="E52" i="1"/>
  <c r="K51" i="1"/>
  <c r="I51" i="1"/>
  <c r="G51" i="1"/>
  <c r="E51" i="1"/>
  <c r="K50" i="1"/>
  <c r="I50" i="1"/>
  <c r="G50" i="1"/>
  <c r="E50" i="1"/>
  <c r="K49" i="1"/>
  <c r="I49" i="1"/>
  <c r="G49" i="1"/>
  <c r="E49" i="1"/>
  <c r="K48" i="1"/>
  <c r="I48" i="1"/>
  <c r="G48" i="1"/>
  <c r="E48" i="1"/>
  <c r="K47" i="1"/>
  <c r="I47" i="1"/>
  <c r="G47" i="1"/>
  <c r="E47" i="1"/>
  <c r="K46" i="1"/>
  <c r="I46" i="1"/>
  <c r="G46" i="1"/>
  <c r="E46" i="1"/>
  <c r="K45" i="1"/>
  <c r="I45" i="1"/>
  <c r="G45" i="1"/>
  <c r="E45" i="1"/>
  <c r="K44" i="1"/>
  <c r="I44" i="1"/>
  <c r="G44" i="1"/>
  <c r="E44" i="1"/>
  <c r="K43" i="1"/>
  <c r="I43" i="1"/>
  <c r="G43" i="1"/>
  <c r="E43" i="1"/>
  <c r="K42" i="1"/>
  <c r="I42" i="1"/>
  <c r="G42" i="1"/>
  <c r="E42" i="1"/>
  <c r="K41" i="1"/>
  <c r="I41" i="1"/>
  <c r="G41" i="1"/>
  <c r="E41" i="1"/>
  <c r="K40" i="1"/>
  <c r="I40" i="1"/>
  <c r="G40" i="1"/>
  <c r="E40" i="1"/>
  <c r="K39" i="1"/>
  <c r="I39" i="1"/>
  <c r="G39" i="1"/>
  <c r="E39" i="1"/>
  <c r="K38" i="1"/>
  <c r="I38" i="1"/>
  <c r="G38" i="1"/>
  <c r="E38" i="1"/>
  <c r="K37" i="1"/>
  <c r="I37" i="1"/>
  <c r="G37" i="1"/>
  <c r="E37" i="1"/>
  <c r="K36" i="1"/>
  <c r="I36" i="1"/>
  <c r="G36" i="1"/>
  <c r="E36" i="1"/>
  <c r="K35" i="1"/>
  <c r="I35" i="1"/>
  <c r="G35" i="1"/>
  <c r="E35" i="1"/>
  <c r="K32" i="1"/>
  <c r="I32" i="1"/>
  <c r="G32" i="1"/>
  <c r="E32" i="1"/>
  <c r="K31" i="1"/>
  <c r="I31" i="1"/>
  <c r="G31" i="1"/>
  <c r="E31" i="1"/>
  <c r="K30" i="1"/>
  <c r="I30" i="1"/>
  <c r="G30" i="1"/>
  <c r="E30" i="1"/>
  <c r="K29" i="1"/>
  <c r="I29" i="1"/>
  <c r="G29" i="1"/>
  <c r="E29" i="1"/>
  <c r="K28" i="1"/>
  <c r="I28" i="1"/>
  <c r="G28" i="1"/>
  <c r="E28" i="1"/>
  <c r="K27" i="1"/>
  <c r="I27" i="1"/>
  <c r="G27" i="1"/>
  <c r="E27" i="1"/>
  <c r="K26" i="1"/>
  <c r="I26" i="1"/>
  <c r="G26" i="1"/>
  <c r="E26" i="1"/>
  <c r="K25" i="1"/>
  <c r="I25" i="1"/>
  <c r="G25" i="1"/>
  <c r="E25" i="1"/>
  <c r="K24" i="1"/>
  <c r="I24" i="1"/>
  <c r="G24" i="1"/>
  <c r="E24" i="1"/>
  <c r="K23" i="1"/>
  <c r="I23" i="1"/>
  <c r="G23" i="1"/>
  <c r="E23" i="1"/>
  <c r="K22" i="1"/>
  <c r="I22" i="1"/>
  <c r="G22" i="1"/>
  <c r="E22" i="1"/>
  <c r="K21" i="1"/>
  <c r="I21" i="1"/>
  <c r="G21" i="1"/>
  <c r="E21" i="1"/>
  <c r="K20" i="1"/>
  <c r="I20" i="1"/>
  <c r="G20" i="1"/>
  <c r="E20" i="1"/>
  <c r="K19" i="1"/>
  <c r="I19" i="1"/>
  <c r="G19" i="1"/>
  <c r="E19" i="1"/>
  <c r="K18" i="1"/>
  <c r="I18" i="1"/>
  <c r="G18" i="1"/>
  <c r="E18" i="1"/>
  <c r="K17" i="1"/>
  <c r="I17" i="1"/>
  <c r="G17" i="1"/>
  <c r="E17" i="1"/>
  <c r="K16" i="1"/>
  <c r="I16" i="1"/>
  <c r="G16" i="1"/>
  <c r="E16" i="1"/>
  <c r="K15" i="1"/>
  <c r="I15" i="1"/>
  <c r="G15" i="1"/>
  <c r="E15" i="1"/>
  <c r="K14" i="1"/>
  <c r="I14" i="1"/>
  <c r="G14" i="1"/>
  <c r="E14" i="1"/>
  <c r="K13" i="1"/>
  <c r="I13" i="1"/>
  <c r="G13" i="1"/>
  <c r="E13" i="1"/>
  <c r="K12" i="1"/>
  <c r="I12" i="1"/>
  <c r="G12" i="1"/>
  <c r="E12" i="1"/>
  <c r="K11" i="1"/>
  <c r="I11" i="1"/>
  <c r="G11" i="1"/>
  <c r="E11" i="1"/>
  <c r="K10" i="1"/>
  <c r="I10" i="1"/>
  <c r="G10" i="1"/>
  <c r="E10" i="1"/>
  <c r="K9" i="1"/>
  <c r="I9" i="1"/>
  <c r="G9" i="1"/>
  <c r="E9" i="1"/>
  <c r="K8" i="1"/>
  <c r="I8" i="1"/>
  <c r="G8" i="1"/>
  <c r="E8" i="1"/>
  <c r="K7" i="1"/>
  <c r="I7" i="1"/>
  <c r="G7" i="1"/>
  <c r="E7" i="1"/>
  <c r="K6" i="1"/>
  <c r="I6" i="1"/>
  <c r="G6" i="1"/>
  <c r="E6" i="1"/>
</calcChain>
</file>

<file path=xl/sharedStrings.xml><?xml version="1.0" encoding="utf-8"?>
<sst xmlns="http://schemas.openxmlformats.org/spreadsheetml/2006/main" count="139" uniqueCount="138">
  <si>
    <t>Nepal Stock Exchange Ltd.</t>
  </si>
  <si>
    <t>Classification of Listed Companies under Listing Bye-Law (2053)</t>
  </si>
  <si>
    <t>Group A Companies Classified for FY 2074/75</t>
  </si>
  <si>
    <t>Company Name</t>
  </si>
  <si>
    <t>No. of SH</t>
  </si>
  <si>
    <t>Paid up value</t>
  </si>
  <si>
    <t>NET PROFIT ( 0000)</t>
  </si>
  <si>
    <t>NET PROFIT (000)</t>
  </si>
  <si>
    <t>NWPS</t>
  </si>
  <si>
    <t>S.No</t>
  </si>
  <si>
    <t>paid up capital</t>
  </si>
  <si>
    <t>2071-72</t>
  </si>
  <si>
    <t>071-72</t>
  </si>
  <si>
    <t>2072-73</t>
  </si>
  <si>
    <t>072-73</t>
  </si>
  <si>
    <t>2073-74</t>
  </si>
  <si>
    <t>073-74</t>
  </si>
  <si>
    <t xml:space="preserve"> </t>
  </si>
  <si>
    <t>Excel Development Bank Ltd.</t>
  </si>
  <si>
    <t>Gandaki Bikas Bank Ltd.</t>
  </si>
  <si>
    <t>Hamro Bikas Bank Ltd.</t>
  </si>
  <si>
    <t>Jyoti Bikas Bank Ltd.</t>
  </si>
  <si>
    <t>Kailash Bikas Bank Ltd.</t>
  </si>
  <si>
    <t>Kamana Sewa Bikas Bank Ltd.</t>
  </si>
  <si>
    <t>Kanchan Development Bank Ltd.</t>
  </si>
  <si>
    <t>Kankai Bikas Bank Ltd.</t>
  </si>
  <si>
    <t>Mission Dev Bank Ltd.</t>
  </si>
  <si>
    <t>Mount Makalu Dev. Bank Ltd.</t>
  </si>
  <si>
    <t>Muktinath Bikas Bank Ltd.</t>
  </si>
  <si>
    <t>Nepal Communty Development Bank Ltd.</t>
  </si>
  <si>
    <t>Saptakoshi dev. Bank ltd</t>
  </si>
  <si>
    <t>Shangrila Development Bank Ltd.</t>
  </si>
  <si>
    <t>Shine Re Development Bank Ltd.</t>
  </si>
  <si>
    <t>Sindhu Bikas Bank Ltd.</t>
  </si>
  <si>
    <t>Tinau Development Bank Ltd.</t>
  </si>
  <si>
    <t>Garima Bikash Bank Ltd.</t>
  </si>
  <si>
    <t>FINANCE SECTOR</t>
  </si>
  <si>
    <t>Central Finance Co. Ltd.</t>
  </si>
  <si>
    <t>Goodwill finance Ltd.</t>
  </si>
  <si>
    <t>Guheyshwori Mer. Bank. Fin. Ltd.</t>
  </si>
  <si>
    <t>ICFC Finance Ltd.</t>
  </si>
  <si>
    <t>Janaki Finance Ltd.</t>
  </si>
  <si>
    <t>Jebil's Finance Ltd.</t>
  </si>
  <si>
    <t>Gurkhash Finance Ltd.</t>
  </si>
  <si>
    <t>Multipurpose Finance Co. Ltd.</t>
  </si>
  <si>
    <t>Pokhara Finance Ltd.</t>
  </si>
  <si>
    <t>Shree Investment Finance Co. Ltd</t>
  </si>
  <si>
    <t>Srijana Finance(Bittiya Sa) Ltd.</t>
  </si>
  <si>
    <t>Chhimek Laghubitta Bikas Bank Limited</t>
  </si>
  <si>
    <t>First Microfinance Development Bank Ltd.</t>
  </si>
  <si>
    <t>Mithila Laghubitta Bikas Bank Ltd.</t>
  </si>
  <si>
    <t>Nagbeli Laghubitta Bikas Bank Ltd.</t>
  </si>
  <si>
    <t>Naya Nepal Laghubitta Bikas Bank Ltd.</t>
  </si>
  <si>
    <t>Nerude Laghubita Bikas Bank Limited</t>
  </si>
  <si>
    <t>Rural Microfinance Development Centre Ltd.</t>
  </si>
  <si>
    <t>Summit Micro Finance Development Bank Ltd.</t>
  </si>
  <si>
    <t>Swabalamwan Bikash Bank Ltd.</t>
  </si>
  <si>
    <t>Womi Microfinancer Bittya Shanstha Ltd.</t>
  </si>
  <si>
    <t>Sana Kisan Bikas Bank Ltd.</t>
  </si>
  <si>
    <t>Nirdhan Utthan Bank Ltd.</t>
  </si>
  <si>
    <t>INSURANCE SECTOR</t>
  </si>
  <si>
    <t>Asian Life Insurance Co. Ltd.</t>
  </si>
  <si>
    <t>Everest Insurance Co. Ltd.</t>
  </si>
  <si>
    <t>Guras Life Insurance Co. Ltd.</t>
  </si>
  <si>
    <t>UN AUDITED07374</t>
  </si>
  <si>
    <t>Himalayan Gen.Insu. Co.Ltd.</t>
  </si>
  <si>
    <t>Lumbini General Insurance Ltd.</t>
  </si>
  <si>
    <t>Neco Insurance Co.Ltd.</t>
  </si>
  <si>
    <t>NLG Insurance Company Ltd.</t>
  </si>
  <si>
    <t>Nepal Life Insurance Co. Ltd.</t>
  </si>
  <si>
    <t>National LifeInsu. Co.Ltd.</t>
  </si>
  <si>
    <t>Prudential Insurance Co.Ltd</t>
  </si>
  <si>
    <t>Prime Life Insurance Company Ltd.</t>
  </si>
  <si>
    <t>Sagarmatha Insurance Co.Ltd</t>
  </si>
  <si>
    <t>Shikhar Insurance Co. Ltd.</t>
  </si>
  <si>
    <t>Siddhartha Insurance Ltd.</t>
  </si>
  <si>
    <t>Surya Life Insurance Company Ltd.</t>
  </si>
  <si>
    <t>HYDRO POWER SECTOR</t>
  </si>
  <si>
    <t>Arun Valley Hydropower Co. Ltd.</t>
  </si>
  <si>
    <t>Butwal Power Co. Ltd.</t>
  </si>
  <si>
    <t>Chilime Hydro power Co.</t>
  </si>
  <si>
    <t>Ridi Hydropower Dev. Co. Ltd.</t>
  </si>
  <si>
    <t>HOTELS SECTOR</t>
  </si>
  <si>
    <t>Oriental Hotel Ltd.</t>
  </si>
  <si>
    <t>Soaltee Hotel Ltd.</t>
  </si>
  <si>
    <t>OTHERS SECTOR</t>
  </si>
  <si>
    <t>Nepal Doorsanchar Company Limited</t>
  </si>
  <si>
    <t>Citizen Investment Trust</t>
  </si>
  <si>
    <t>Deva Bikas Bank Ltd.</t>
  </si>
  <si>
    <t>Om Development Bank Ltd.</t>
  </si>
  <si>
    <t>Mahalaxmi Bikas Bank Ltd.</t>
  </si>
  <si>
    <t>Agriculture Development Bank Ltd.</t>
  </si>
  <si>
    <t>Bank of Kathamandu Ltd.</t>
  </si>
  <si>
    <t>Citizens Bank International Ltd.</t>
  </si>
  <si>
    <t>Civil Bank Ltd.</t>
  </si>
  <si>
    <t>Century Commercial Bank Ltd.</t>
  </si>
  <si>
    <t>Everest Bank Ltd.</t>
  </si>
  <si>
    <t>Global IME Bank Ltd.</t>
  </si>
  <si>
    <t>Himalayan Bank Ltd.</t>
  </si>
  <si>
    <t>Janata Bank Ltd.</t>
  </si>
  <si>
    <t>Kumari Bank Ltd.</t>
  </si>
  <si>
    <t>Prabhu Bank Ltd.</t>
  </si>
  <si>
    <t>Laxmi Bank Ltd.</t>
  </si>
  <si>
    <t>Macchhapuchre Bank Ltd.</t>
  </si>
  <si>
    <t>Mega Bank Nepal Ltd.</t>
  </si>
  <si>
    <t>Nabil Bank Ltd.</t>
  </si>
  <si>
    <t>Nepal Bangladesh Bank Ltd.</t>
  </si>
  <si>
    <t>Nepal Bank Ltd.</t>
  </si>
  <si>
    <t>Nepal Investment Bank Ltd.</t>
  </si>
  <si>
    <t>Nepal Credit &amp; Commerce Bank Ltd.</t>
  </si>
  <si>
    <t>Nepa SBI Bank Ltd.</t>
  </si>
  <si>
    <t>NIC Asia Bank Ltd.</t>
  </si>
  <si>
    <t>NMB Bank Ltd.</t>
  </si>
  <si>
    <t>Prime Commercial Bank Ltd.</t>
  </si>
  <si>
    <t>Sanima Bank Ltd.</t>
  </si>
  <si>
    <t>Siddhartha Bank Ltd.</t>
  </si>
  <si>
    <t>Standard Chartered Bank Ltd.</t>
  </si>
  <si>
    <t>Sunrise Bank Ltd.</t>
  </si>
  <si>
    <t>NMB Microfinance Ltd.</t>
  </si>
  <si>
    <t>Kishan Laghubitta Bittiya Sansthan Ltd.</t>
  </si>
  <si>
    <t>Laxmi Laghubitta Bittiya Sansthan Ltd.</t>
  </si>
  <si>
    <t>Mero Microfinance Bittiya Sansthan Ltd.</t>
  </si>
  <si>
    <t>Mirmire Microfinance Development Bank Ltd.</t>
  </si>
  <si>
    <t>National Microfinance Bittiya Sansthan Ltd.</t>
  </si>
  <si>
    <t>Nepal Grameen Bikas Bank Ltd.</t>
  </si>
  <si>
    <t>GBIME Microfinance Bittiya Sansthan Ltd.</t>
  </si>
  <si>
    <t>Vijaya Laghubitta Bittiya Sansthan Ltd.</t>
  </si>
  <si>
    <t>RSDC Laghubitta Bittiya Sansthan Ltd.</t>
  </si>
  <si>
    <t>Samata Microfinance Bittiya Sansthan Ltd.</t>
  </si>
  <si>
    <t>Suryodaya Laghubitta Bittiya Sansthan Ltd.</t>
  </si>
  <si>
    <t>Mahuli Samudayak Laghubitta Bittiya Sansthan Ltd.</t>
  </si>
  <si>
    <t>Prabhu Insurance Ltd.</t>
  </si>
  <si>
    <t>Life Insurance Corporation Nepal Ltd.</t>
  </si>
  <si>
    <t>Nagdi Power Co. Ltd.</t>
  </si>
  <si>
    <t>Janautthan Samudayic Laghubitta Bikas Bank Ltd.</t>
  </si>
  <si>
    <t>MICROFINANCE SECTOR</t>
  </si>
  <si>
    <t>DEVELOPMENT BANK SECTOR</t>
  </si>
  <si>
    <t>COMMERCIAL BANK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</si>
</sst>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MS Sans Serif"/>
    </font>
    <font>
      <b/>
      <sz val="10"/>
      <name val="MS Sans Serif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10"/>
      <name val="MS Sans Serif"/>
    </font>
    <font>
      <b/>
      <u/>
      <sz val="10"/>
      <color theme="9" tint="-0.249977111117893"/>
      <name val="Arial"/>
      <family val="2"/>
    </font>
    <font>
      <u/>
      <sz val="10"/>
      <color theme="10"/>
      <name val="MS Sans Serif"/>
      <family val="2"/>
    </font>
    <font>
      <sz val="10"/>
      <name val="Arial"/>
      <family val="2"/>
    </font>
    <font>
      <sz val="10"/>
      <color theme="1"/>
      <name val="MS Sans Serif"/>
    </font>
    <font>
      <sz val="10"/>
      <color theme="1"/>
      <name val="MS Sans Serif"/>
      <family val="2"/>
    </font>
    <font>
      <sz val="10"/>
      <color theme="5"/>
      <name val="MS Sans Serif"/>
    </font>
    <font>
      <b/>
      <u/>
      <sz val="10"/>
      <name val="Arial"/>
      <family val="2"/>
    </font>
    <font>
      <u/>
      <sz val="10"/>
      <color theme="5"/>
      <name val="Arial"/>
      <family val="2"/>
    </font>
    <font>
      <sz val="10"/>
      <color theme="5"/>
      <name val="MS Sans Serif"/>
      <family val="2"/>
    </font>
    <font>
      <b/>
      <u/>
      <sz val="10"/>
      <color theme="1"/>
      <name val="Arial"/>
      <family val="2"/>
    </font>
    <font>
      <b/>
      <u/>
      <sz val="10"/>
      <color theme="3"/>
      <name val="Arial"/>
      <family val="2"/>
    </font>
    <font>
      <sz val="10"/>
      <color rgb="FFFFC000"/>
      <name val="MS Sans Serif"/>
    </font>
    <font>
      <b/>
      <u/>
      <sz val="10"/>
      <name val="MS Sans Serif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0" fontId="0" fillId="0" borderId="2" xfId="0" applyBorder="1"/>
    <xf numFmtId="0" fontId="3" fillId="0" borderId="4" xfId="0" applyFont="1" applyBorder="1" applyAlignment="1">
      <alignment horizontal="center"/>
    </xf>
    <xf numFmtId="0" fontId="4" fillId="0" borderId="3" xfId="0" applyFont="1" applyBorder="1" applyAlignment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/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2" xfId="0" applyFont="1" applyBorder="1"/>
    <xf numFmtId="2" fontId="6" fillId="0" borderId="2" xfId="0" applyNumberFormat="1" applyFont="1" applyBorder="1"/>
    <xf numFmtId="2" fontId="5" fillId="0" borderId="2" xfId="1" applyNumberFormat="1" applyFont="1" applyBorder="1"/>
    <xf numFmtId="2" fontId="6" fillId="0" borderId="8" xfId="0" applyNumberFormat="1" applyFont="1" applyFill="1" applyBorder="1"/>
    <xf numFmtId="0" fontId="0" fillId="0" borderId="9" xfId="0" applyBorder="1" applyAlignment="1">
      <alignment horizontal="center"/>
    </xf>
    <xf numFmtId="0" fontId="6" fillId="0" borderId="9" xfId="0" applyFont="1" applyBorder="1"/>
    <xf numFmtId="2" fontId="6" fillId="0" borderId="9" xfId="0" applyNumberFormat="1" applyFont="1" applyBorder="1"/>
    <xf numFmtId="0" fontId="0" fillId="0" borderId="9" xfId="0" applyBorder="1"/>
    <xf numFmtId="0" fontId="8" fillId="0" borderId="2" xfId="0" applyFont="1" applyBorder="1"/>
    <xf numFmtId="0" fontId="10" fillId="0" borderId="2" xfId="2" applyNumberFormat="1" applyFont="1" applyBorder="1" applyAlignment="1" applyProtection="1">
      <alignment horizontal="left" wrapText="1"/>
    </xf>
    <xf numFmtId="0" fontId="0" fillId="0" borderId="8" xfId="0" applyFill="1" applyBorder="1"/>
    <xf numFmtId="0" fontId="5" fillId="0" borderId="2" xfId="2" applyNumberFormat="1" applyFont="1" applyBorder="1" applyAlignment="1" applyProtection="1">
      <alignment horizontal="left" wrapText="1"/>
    </xf>
    <xf numFmtId="0" fontId="11" fillId="0" borderId="2" xfId="0" applyFont="1" applyBorder="1"/>
    <xf numFmtId="2" fontId="12" fillId="0" borderId="2" xfId="0" applyNumberFormat="1" applyFont="1" applyBorder="1"/>
    <xf numFmtId="0" fontId="11" fillId="0" borderId="0" xfId="0" applyFont="1"/>
    <xf numFmtId="0" fontId="5" fillId="0" borderId="2" xfId="0" applyNumberFormat="1" applyFont="1" applyBorder="1"/>
    <xf numFmtId="0" fontId="11" fillId="0" borderId="2" xfId="0" applyNumberFormat="1" applyFont="1" applyBorder="1"/>
    <xf numFmtId="0" fontId="0" fillId="0" borderId="2" xfId="0" applyNumberFormat="1" applyFont="1" applyBorder="1"/>
    <xf numFmtId="0" fontId="0" fillId="0" borderId="2" xfId="0" applyFont="1" applyBorder="1"/>
    <xf numFmtId="2" fontId="0" fillId="0" borderId="2" xfId="0" applyNumberFormat="1" applyFont="1" applyBorder="1"/>
    <xf numFmtId="0" fontId="10" fillId="0" borderId="2" xfId="2" applyFont="1" applyBorder="1" applyAlignment="1" applyProtection="1">
      <alignment horizontal="left" wrapText="1"/>
    </xf>
    <xf numFmtId="0" fontId="7" fillId="0" borderId="2" xfId="0" applyFont="1" applyBorder="1"/>
    <xf numFmtId="0" fontId="6" fillId="0" borderId="2" xfId="0" applyFont="1" applyBorder="1"/>
    <xf numFmtId="0" fontId="10" fillId="0" borderId="2" xfId="0" applyFont="1" applyBorder="1" applyAlignment="1">
      <alignment horizontal="right" wrapText="1"/>
    </xf>
    <xf numFmtId="2" fontId="7" fillId="0" borderId="2" xfId="0" applyNumberFormat="1" applyFont="1" applyBorder="1"/>
    <xf numFmtId="0" fontId="7" fillId="0" borderId="0" xfId="0" applyFont="1"/>
    <xf numFmtId="0" fontId="13" fillId="0" borderId="3" xfId="0" applyFont="1" applyBorder="1" applyAlignment="1">
      <alignment horizontal="center"/>
    </xf>
    <xf numFmtId="0" fontId="14" fillId="0" borderId="2" xfId="0" applyNumberFormat="1" applyFont="1" applyBorder="1"/>
    <xf numFmtId="0" fontId="15" fillId="0" borderId="2" xfId="0" applyFont="1" applyBorder="1"/>
    <xf numFmtId="2" fontId="16" fillId="0" borderId="2" xfId="0" applyNumberFormat="1" applyFont="1" applyBorder="1"/>
    <xf numFmtId="0" fontId="13" fillId="0" borderId="2" xfId="0" applyFont="1" applyBorder="1"/>
    <xf numFmtId="0" fontId="13" fillId="0" borderId="0" xfId="0" applyFont="1"/>
    <xf numFmtId="0" fontId="0" fillId="0" borderId="2" xfId="0" applyNumberFormat="1" applyBorder="1"/>
    <xf numFmtId="0" fontId="0" fillId="0" borderId="0" xfId="0" applyBorder="1" applyAlignment="1">
      <alignment horizontal="center"/>
    </xf>
    <xf numFmtId="0" fontId="10" fillId="0" borderId="0" xfId="2" applyNumberFormat="1" applyFont="1" applyBorder="1" applyAlignment="1" applyProtection="1">
      <alignment horizontal="left" wrapText="1"/>
    </xf>
    <xf numFmtId="0" fontId="0" fillId="0" borderId="0" xfId="0" applyBorder="1"/>
    <xf numFmtId="2" fontId="6" fillId="0" borderId="0" xfId="0" applyNumberFormat="1" applyFont="1" applyBorder="1"/>
    <xf numFmtId="0" fontId="2" fillId="0" borderId="2" xfId="0" applyFont="1" applyFill="1" applyBorder="1"/>
    <xf numFmtId="0" fontId="11" fillId="0" borderId="3" xfId="0" applyFont="1" applyBorder="1" applyAlignment="1">
      <alignment horizontal="center"/>
    </xf>
    <xf numFmtId="0" fontId="5" fillId="0" borderId="2" xfId="0" applyNumberFormat="1" applyFont="1" applyBorder="1" applyAlignment="1">
      <alignment horizontal="left" wrapText="1"/>
    </xf>
    <xf numFmtId="0" fontId="0" fillId="0" borderId="0" xfId="0" applyAlignment="1">
      <alignment horizontal="center"/>
    </xf>
    <xf numFmtId="2" fontId="0" fillId="0" borderId="2" xfId="0" applyNumberFormat="1" applyBorder="1"/>
    <xf numFmtId="0" fontId="17" fillId="0" borderId="2" xfId="0" applyNumberFormat="1" applyFont="1" applyBorder="1"/>
    <xf numFmtId="0" fontId="17" fillId="0" borderId="2" xfId="0" applyFont="1" applyBorder="1"/>
    <xf numFmtId="0" fontId="0" fillId="0" borderId="5" xfId="0" applyBorder="1" applyAlignment="1">
      <alignment horizontal="center"/>
    </xf>
    <xf numFmtId="0" fontId="10" fillId="0" borderId="5" xfId="0" applyNumberFormat="1" applyFont="1" applyBorder="1" applyAlignment="1">
      <alignment horizontal="left"/>
    </xf>
    <xf numFmtId="0" fontId="10" fillId="0" borderId="5" xfId="0" applyFont="1" applyBorder="1" applyAlignment="1">
      <alignment horizontal="right"/>
    </xf>
    <xf numFmtId="2" fontId="0" fillId="0" borderId="5" xfId="0" applyNumberFormat="1" applyBorder="1"/>
    <xf numFmtId="0" fontId="0" fillId="0" borderId="5" xfId="0" applyBorder="1"/>
    <xf numFmtId="1" fontId="0" fillId="0" borderId="0" xfId="0" applyNumberFormat="1"/>
    <xf numFmtId="0" fontId="10" fillId="0" borderId="2" xfId="0" applyNumberFormat="1" applyFont="1" applyBorder="1" applyAlignment="1">
      <alignment horizontal="left"/>
    </xf>
    <xf numFmtId="0" fontId="18" fillId="0" borderId="2" xfId="0" applyFont="1" applyBorder="1"/>
    <xf numFmtId="0" fontId="10" fillId="0" borderId="4" xfId="2" applyNumberFormat="1" applyFont="1" applyBorder="1" applyAlignment="1" applyProtection="1">
      <alignment horizontal="left" wrapText="1"/>
    </xf>
    <xf numFmtId="0" fontId="0" fillId="0" borderId="4" xfId="0" applyBorder="1"/>
    <xf numFmtId="2" fontId="0" fillId="0" borderId="4" xfId="0" applyNumberFormat="1" applyBorder="1"/>
    <xf numFmtId="2" fontId="19" fillId="0" borderId="2" xfId="0" applyNumberFormat="1" applyFont="1" applyBorder="1"/>
    <xf numFmtId="0" fontId="10" fillId="0" borderId="7" xfId="2" applyNumberFormat="1" applyFont="1" applyBorder="1" applyAlignment="1" applyProtection="1">
      <alignment horizontal="left" wrapText="1"/>
    </xf>
    <xf numFmtId="0" fontId="0" fillId="0" borderId="7" xfId="0" applyBorder="1"/>
    <xf numFmtId="2" fontId="0" fillId="0" borderId="7" xfId="0" applyNumberFormat="1" applyBorder="1"/>
    <xf numFmtId="0" fontId="5" fillId="0" borderId="0" xfId="0" applyFont="1"/>
    <xf numFmtId="0" fontId="0" fillId="0" borderId="4" xfId="0" applyBorder="1" applyAlignment="1">
      <alignment horizontal="center"/>
    </xf>
    <xf numFmtId="0" fontId="20" fillId="0" borderId="0" xfId="0" applyFont="1"/>
    <xf numFmtId="0" fontId="21" fillId="0" borderId="2" xfId="0" applyNumberFormat="1" applyFont="1" applyFill="1" applyBorder="1"/>
    <xf numFmtId="0" fontId="10" fillId="0" borderId="2" xfId="0" applyFont="1" applyBorder="1" applyAlignment="1">
      <alignment horizontal="righ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nepalstock.com/companydetail.php?StockSymbol=JSM" TargetMode="External"/><Relationship Id="rId13" Type="http://schemas.openxmlformats.org/officeDocument/2006/relationships/hyperlink" Target="http://www.nepalstock.com/companydetail.php?StockSymbol=CIT" TargetMode="External"/><Relationship Id="rId18" Type="http://schemas.openxmlformats.org/officeDocument/2006/relationships/hyperlink" Target="http://www.nepalstock.com/companydetail.php?StockSymbol=SFFIL" TargetMode="External"/><Relationship Id="rId26" Type="http://schemas.openxmlformats.org/officeDocument/2006/relationships/hyperlink" Target="http://www.nepalstock.com/companydetail.php?StockSymbol=GLICL" TargetMode="External"/><Relationship Id="rId39" Type="http://schemas.openxmlformats.org/officeDocument/2006/relationships/hyperlink" Target="http://www.nepalstock.com/companydetail.php?StockSymbol=BPCL" TargetMode="External"/><Relationship Id="rId3" Type="http://schemas.openxmlformats.org/officeDocument/2006/relationships/hyperlink" Target="http://www.nepalstock.com/companydetail.php?StockSymbol=BNT" TargetMode="External"/><Relationship Id="rId21" Type="http://schemas.openxmlformats.org/officeDocument/2006/relationships/hyperlink" Target="http://www.nepalstock.com/companydetail.php?StockSymbol=SMFDB" TargetMode="External"/><Relationship Id="rId34" Type="http://schemas.openxmlformats.org/officeDocument/2006/relationships/hyperlink" Target="http://www.nepalstock.com/companydetail.php?StockSymbol=PLIC" TargetMode="External"/><Relationship Id="rId42" Type="http://schemas.openxmlformats.org/officeDocument/2006/relationships/hyperlink" Target="http://www.nepalstock.com/companydetail.php?StockSymbol=SHL" TargetMode="External"/><Relationship Id="rId7" Type="http://schemas.openxmlformats.org/officeDocument/2006/relationships/hyperlink" Target="http://www.nepalstock.com/companydetail.php?StockSymbol=HDL" TargetMode="External"/><Relationship Id="rId12" Type="http://schemas.openxmlformats.org/officeDocument/2006/relationships/hyperlink" Target="http://www.nepalstock.com/companydetail.php?StockSymbol=CFCL" TargetMode="External"/><Relationship Id="rId17" Type="http://schemas.openxmlformats.org/officeDocument/2006/relationships/hyperlink" Target="http://www.nepalstock.com/companydetail.php?StockSymbol=PFL" TargetMode="External"/><Relationship Id="rId25" Type="http://schemas.openxmlformats.org/officeDocument/2006/relationships/hyperlink" Target="http://www.nepalstock.com/companydetail.php?StockSymbol=EIC" TargetMode="External"/><Relationship Id="rId33" Type="http://schemas.openxmlformats.org/officeDocument/2006/relationships/hyperlink" Target="http://www.nepalstock.com/companydetail.php?StockSymbol=PICL" TargetMode="External"/><Relationship Id="rId38" Type="http://schemas.openxmlformats.org/officeDocument/2006/relationships/hyperlink" Target="http://www.nepalstock.com/companydetail.php?StockSymbol=SLICL" TargetMode="External"/><Relationship Id="rId2" Type="http://schemas.openxmlformats.org/officeDocument/2006/relationships/hyperlink" Target="http://www.nepalstock.com/companydetail.php?StockSymbol=SWBBL" TargetMode="External"/><Relationship Id="rId16" Type="http://schemas.openxmlformats.org/officeDocument/2006/relationships/hyperlink" Target="http://www.nepalstock.com/companydetail.php?StockSymbol=JFL" TargetMode="External"/><Relationship Id="rId20" Type="http://schemas.openxmlformats.org/officeDocument/2006/relationships/hyperlink" Target="http://www.nepalstock.com/companydetail.php?StockSymbol=NLBBL" TargetMode="External"/><Relationship Id="rId29" Type="http://schemas.openxmlformats.org/officeDocument/2006/relationships/hyperlink" Target="http://www.nepalstock.com/companydetail.php?StockSymbol=NIL" TargetMode="External"/><Relationship Id="rId41" Type="http://schemas.openxmlformats.org/officeDocument/2006/relationships/hyperlink" Target="http://www.nepalstock.com/companydetail.php?StockSymbol=OHL" TargetMode="External"/><Relationship Id="rId1" Type="http://schemas.openxmlformats.org/officeDocument/2006/relationships/hyperlink" Target="http://www.nepalstock.com/companydetail.php?StockSymbol=NLBBL" TargetMode="External"/><Relationship Id="rId6" Type="http://schemas.openxmlformats.org/officeDocument/2006/relationships/hyperlink" Target="http://www.nepalstock.com/companydetail.php?StockSymbol=FHL" TargetMode="External"/><Relationship Id="rId11" Type="http://schemas.openxmlformats.org/officeDocument/2006/relationships/hyperlink" Target="http://www.nepalstock.com/companydetail.php?StockSymbol=GRU" TargetMode="External"/><Relationship Id="rId24" Type="http://schemas.openxmlformats.org/officeDocument/2006/relationships/hyperlink" Target="http://www.nepalstock.com/companydetail.php?StockSymbol=ALICL" TargetMode="External"/><Relationship Id="rId32" Type="http://schemas.openxmlformats.org/officeDocument/2006/relationships/hyperlink" Target="http://www.nepalstock.com/companydetail.php?StockSymbol=NLICL" TargetMode="External"/><Relationship Id="rId37" Type="http://schemas.openxmlformats.org/officeDocument/2006/relationships/hyperlink" Target="http://www.nepalstock.com/companydetail.php?StockSymbol=SIL" TargetMode="External"/><Relationship Id="rId40" Type="http://schemas.openxmlformats.org/officeDocument/2006/relationships/hyperlink" Target="http://www.nepalstock.com/companydetail.php?StockSymbol=CHCL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://www.nepalstock.com/companydetail.php?StockSymbol=BSM" TargetMode="External"/><Relationship Id="rId15" Type="http://schemas.openxmlformats.org/officeDocument/2006/relationships/hyperlink" Target="http://www.nepalstock.com/companydetail.php?StockSymbol=ICFC" TargetMode="External"/><Relationship Id="rId23" Type="http://schemas.openxmlformats.org/officeDocument/2006/relationships/hyperlink" Target="http://www.nepalstock.com/companydetail.php?StockSymbol=NFD" TargetMode="External"/><Relationship Id="rId28" Type="http://schemas.openxmlformats.org/officeDocument/2006/relationships/hyperlink" Target="http://www.nepalstock.com/companydetail.php?StockSymbol=LGIL" TargetMode="External"/><Relationship Id="rId36" Type="http://schemas.openxmlformats.org/officeDocument/2006/relationships/hyperlink" Target="http://www.nepalstock.com/companydetail.php?StockSymbol=SICL" TargetMode="External"/><Relationship Id="rId10" Type="http://schemas.openxmlformats.org/officeDocument/2006/relationships/hyperlink" Target="http://www.nepalstock.com/companydetail.php?StockSymbol=SRS" TargetMode="External"/><Relationship Id="rId19" Type="http://schemas.openxmlformats.org/officeDocument/2006/relationships/hyperlink" Target="http://www.nepalstock.com/companydetail.php?StockSymbol=FMDBL" TargetMode="External"/><Relationship Id="rId31" Type="http://schemas.openxmlformats.org/officeDocument/2006/relationships/hyperlink" Target="http://www.nepalstock.com/companydetail.php?StockSymbol=NLIC" TargetMode="External"/><Relationship Id="rId44" Type="http://schemas.openxmlformats.org/officeDocument/2006/relationships/hyperlink" Target="http://www.nepalstock.com/companydetail.php?StockSymbol=NVG" TargetMode="External"/><Relationship Id="rId4" Type="http://schemas.openxmlformats.org/officeDocument/2006/relationships/hyperlink" Target="http://www.nepalstock.com/companydetail.php?StockSymbol=BSL" TargetMode="External"/><Relationship Id="rId9" Type="http://schemas.openxmlformats.org/officeDocument/2006/relationships/hyperlink" Target="http://www.nepalstock.com/companydetail.php?StockSymbol=RJM" TargetMode="External"/><Relationship Id="rId14" Type="http://schemas.openxmlformats.org/officeDocument/2006/relationships/hyperlink" Target="http://www.nepalstock.com/companydetail.php?StockSymbol=GFCL" TargetMode="External"/><Relationship Id="rId22" Type="http://schemas.openxmlformats.org/officeDocument/2006/relationships/hyperlink" Target="http://www.nepalstock.com/companydetail.php?StockSymbol=SWBBL" TargetMode="External"/><Relationship Id="rId27" Type="http://schemas.openxmlformats.org/officeDocument/2006/relationships/hyperlink" Target="http://www.nepalstock.com/companydetail.php?StockSymbol=HGI" TargetMode="External"/><Relationship Id="rId30" Type="http://schemas.openxmlformats.org/officeDocument/2006/relationships/hyperlink" Target="http://www.nepalstock.com/companydetail.php?StockSymbol=NLG" TargetMode="External"/><Relationship Id="rId35" Type="http://schemas.openxmlformats.org/officeDocument/2006/relationships/hyperlink" Target="http://www.nepalstock.com/companydetail.php?StockSymbol=SIC" TargetMode="External"/><Relationship Id="rId43" Type="http://schemas.openxmlformats.org/officeDocument/2006/relationships/hyperlink" Target="http://www.nepalstock.com/companydetail.php?StockSymbol=N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tabSelected="1" topLeftCell="A109" workbookViewId="0">
      <selection activeCell="M117" sqref="M117"/>
    </sheetView>
  </sheetViews>
  <sheetFormatPr defaultRowHeight="15" x14ac:dyDescent="0.25"/>
  <cols>
    <col min="1" max="1" width="5.28515625" style="57" bestFit="1" customWidth="1"/>
    <col min="2" max="2" width="42.5703125" customWidth="1"/>
    <col min="3" max="3" width="10.7109375" bestFit="1" customWidth="1"/>
    <col min="4" max="4" width="19" hidden="1" customWidth="1"/>
    <col min="5" max="5" width="19" customWidth="1"/>
    <col min="6" max="6" width="17" hidden="1" customWidth="1"/>
    <col min="7" max="7" width="17" customWidth="1"/>
    <col min="8" max="8" width="17.140625" hidden="1" customWidth="1"/>
    <col min="9" max="9" width="17.140625" customWidth="1"/>
    <col min="10" max="10" width="17.140625" hidden="1" customWidth="1"/>
    <col min="11" max="11" width="17.140625" customWidth="1"/>
    <col min="13" max="13" width="19.7109375" customWidth="1"/>
    <col min="14" max="14" width="15.42578125" customWidth="1"/>
  </cols>
  <sheetData>
    <row r="1" spans="1:18" ht="16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8" ht="16.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8" ht="16.5" customHeight="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8" ht="16.5" customHeight="1" x14ac:dyDescent="0.25">
      <c r="A4" s="3"/>
      <c r="B4" s="4" t="s">
        <v>3</v>
      </c>
      <c r="C4" s="5" t="s">
        <v>4</v>
      </c>
      <c r="D4" s="6"/>
      <c r="E4" s="7" t="s">
        <v>5</v>
      </c>
      <c r="F4" s="8" t="s">
        <v>6</v>
      </c>
      <c r="G4" s="9" t="s">
        <v>7</v>
      </c>
      <c r="H4" s="9"/>
      <c r="I4" s="9"/>
      <c r="J4" s="9"/>
      <c r="K4" s="10"/>
      <c r="L4" s="11" t="s">
        <v>8</v>
      </c>
    </row>
    <row r="5" spans="1:18" ht="16.5" customHeight="1" x14ac:dyDescent="0.25">
      <c r="A5" s="12" t="s">
        <v>9</v>
      </c>
      <c r="B5" s="78" t="s">
        <v>137</v>
      </c>
      <c r="C5" s="13"/>
      <c r="D5" s="14" t="s">
        <v>10</v>
      </c>
      <c r="E5" s="15"/>
      <c r="F5" s="14" t="s">
        <v>11</v>
      </c>
      <c r="G5" s="14" t="s">
        <v>12</v>
      </c>
      <c r="H5" s="14" t="s">
        <v>13</v>
      </c>
      <c r="I5" s="14" t="s">
        <v>14</v>
      </c>
      <c r="J5" s="14" t="s">
        <v>15</v>
      </c>
      <c r="K5" s="14" t="s">
        <v>16</v>
      </c>
      <c r="L5" s="14" t="s">
        <v>15</v>
      </c>
    </row>
    <row r="6" spans="1:18" ht="16.5" customHeight="1" x14ac:dyDescent="0.25">
      <c r="A6" s="16">
        <v>1</v>
      </c>
      <c r="B6" s="17" t="s">
        <v>91</v>
      </c>
      <c r="C6" s="6">
        <v>248000</v>
      </c>
      <c r="D6" s="18">
        <v>7087680000</v>
      </c>
      <c r="E6" s="18">
        <f>D6/1000</f>
        <v>7087680</v>
      </c>
      <c r="F6" s="18">
        <v>3603370808</v>
      </c>
      <c r="G6" s="18">
        <f>F6/1000</f>
        <v>3603370.8080000002</v>
      </c>
      <c r="H6" s="18">
        <v>2464683088</v>
      </c>
      <c r="I6" s="18">
        <f>H6/1000</f>
        <v>2464683.088</v>
      </c>
      <c r="J6" s="18">
        <v>2565220197</v>
      </c>
      <c r="K6" s="18">
        <f>J6/1000</f>
        <v>2565220.1970000002</v>
      </c>
      <c r="L6" s="6">
        <v>230.88</v>
      </c>
    </row>
    <row r="7" spans="1:18" ht="16.5" customHeight="1" x14ac:dyDescent="0.25">
      <c r="A7" s="16">
        <v>2</v>
      </c>
      <c r="B7" s="17" t="s">
        <v>92</v>
      </c>
      <c r="C7" s="6">
        <v>55575</v>
      </c>
      <c r="D7" s="18">
        <v>5629576000</v>
      </c>
      <c r="E7" s="18">
        <f t="shared" ref="E7:E32" si="0">D7/1000</f>
        <v>5629576</v>
      </c>
      <c r="F7" s="18">
        <v>334569082.13</v>
      </c>
      <c r="G7" s="18">
        <f t="shared" ref="G7:G32" si="1">F7/1000</f>
        <v>334569.08213</v>
      </c>
      <c r="H7" s="18">
        <v>655275697.47000003</v>
      </c>
      <c r="I7" s="18">
        <f t="shared" ref="I7:I32" si="2">H7/1000</f>
        <v>655275.69747000001</v>
      </c>
      <c r="J7" s="18">
        <v>1322601704.24</v>
      </c>
      <c r="K7" s="18">
        <f t="shared" ref="K7:K32" si="3">J7/1000</f>
        <v>1322601.7042400001</v>
      </c>
      <c r="L7" s="6">
        <v>160.380663</v>
      </c>
    </row>
    <row r="8" spans="1:18" ht="16.5" customHeight="1" x14ac:dyDescent="0.25">
      <c r="A8" s="16">
        <v>3</v>
      </c>
      <c r="B8" s="17" t="s">
        <v>93</v>
      </c>
      <c r="C8" s="6">
        <v>80866</v>
      </c>
      <c r="D8" s="18">
        <v>8029160009</v>
      </c>
      <c r="E8" s="18">
        <f t="shared" si="0"/>
        <v>8029160.0089999996</v>
      </c>
      <c r="F8" s="18">
        <v>720308500</v>
      </c>
      <c r="G8" s="18">
        <f t="shared" si="1"/>
        <v>720308.5</v>
      </c>
      <c r="H8" s="18">
        <v>1080377500</v>
      </c>
      <c r="I8" s="18">
        <f t="shared" si="2"/>
        <v>1080377.5</v>
      </c>
      <c r="J8" s="18">
        <v>1081661550</v>
      </c>
      <c r="K8" s="18">
        <f t="shared" si="3"/>
        <v>1081661.55</v>
      </c>
      <c r="L8" s="6">
        <v>100</v>
      </c>
      <c r="R8" t="s">
        <v>17</v>
      </c>
    </row>
    <row r="9" spans="1:18" ht="16.5" customHeight="1" x14ac:dyDescent="0.25">
      <c r="A9" s="16">
        <v>4</v>
      </c>
      <c r="B9" s="17" t="s">
        <v>94</v>
      </c>
      <c r="C9" s="6">
        <v>120367</v>
      </c>
      <c r="D9" s="18">
        <v>5185221687</v>
      </c>
      <c r="E9" s="18">
        <f t="shared" si="0"/>
        <v>5185221.6869999999</v>
      </c>
      <c r="F9" s="18">
        <v>230020316</v>
      </c>
      <c r="G9" s="18">
        <f t="shared" si="1"/>
        <v>230020.31599999999</v>
      </c>
      <c r="H9" s="18">
        <v>193730115</v>
      </c>
      <c r="I9" s="18">
        <f t="shared" si="2"/>
        <v>193730.11499999999</v>
      </c>
      <c r="J9" s="18">
        <v>367269937</v>
      </c>
      <c r="K9" s="18">
        <f t="shared" si="3"/>
        <v>367269.93699999998</v>
      </c>
      <c r="L9" s="6">
        <v>129.37</v>
      </c>
    </row>
    <row r="10" spans="1:18" ht="16.5" customHeight="1" x14ac:dyDescent="0.25">
      <c r="A10" s="16">
        <v>5</v>
      </c>
      <c r="B10" s="17" t="s">
        <v>95</v>
      </c>
      <c r="C10" s="6">
        <v>202697</v>
      </c>
      <c r="D10" s="18">
        <v>7679461837</v>
      </c>
      <c r="E10" s="18">
        <f t="shared" si="0"/>
        <v>7679461.8370000003</v>
      </c>
      <c r="F10" s="18">
        <v>257809213</v>
      </c>
      <c r="G10" s="18">
        <f t="shared" si="1"/>
        <v>257809.21299999999</v>
      </c>
      <c r="H10" s="18">
        <v>413533271</v>
      </c>
      <c r="I10" s="18">
        <f t="shared" si="2"/>
        <v>413533.27100000001</v>
      </c>
      <c r="J10" s="18">
        <v>501365807</v>
      </c>
      <c r="K10" s="18">
        <f t="shared" si="3"/>
        <v>501365.80699999997</v>
      </c>
      <c r="L10" s="6">
        <v>114.72</v>
      </c>
    </row>
    <row r="11" spans="1:18" ht="16.5" customHeight="1" x14ac:dyDescent="0.25">
      <c r="A11" s="16">
        <v>6</v>
      </c>
      <c r="B11" s="17" t="s">
        <v>96</v>
      </c>
      <c r="C11" s="6">
        <v>46957</v>
      </c>
      <c r="D11" s="18">
        <v>6035235921</v>
      </c>
      <c r="E11" s="18">
        <f t="shared" si="0"/>
        <v>6035235.9210000001</v>
      </c>
      <c r="F11" s="18">
        <v>1574352443</v>
      </c>
      <c r="G11" s="18">
        <f t="shared" si="1"/>
        <v>1574352.443</v>
      </c>
      <c r="H11" s="18">
        <v>1730207025</v>
      </c>
      <c r="I11" s="18">
        <f t="shared" si="2"/>
        <v>1730207.0249999999</v>
      </c>
      <c r="J11" s="18">
        <v>2006247780</v>
      </c>
      <c r="K11" s="18">
        <f t="shared" si="3"/>
        <v>2006247.78</v>
      </c>
      <c r="L11" s="6">
        <v>253.28</v>
      </c>
    </row>
    <row r="12" spans="1:18" ht="16.5" customHeight="1" x14ac:dyDescent="0.25">
      <c r="A12" s="16">
        <v>7</v>
      </c>
      <c r="B12" s="17" t="s">
        <v>97</v>
      </c>
      <c r="C12" s="6">
        <v>142814</v>
      </c>
      <c r="D12" s="19">
        <v>8080341625</v>
      </c>
      <c r="E12" s="18">
        <f t="shared" si="0"/>
        <v>8080341.625</v>
      </c>
      <c r="F12" s="19">
        <v>960608067</v>
      </c>
      <c r="G12" s="18">
        <f t="shared" si="1"/>
        <v>960608.06700000004</v>
      </c>
      <c r="H12" s="19">
        <v>1382223998</v>
      </c>
      <c r="I12" s="18">
        <f t="shared" si="2"/>
        <v>1382223.9979999999</v>
      </c>
      <c r="J12" s="18">
        <v>2006159460</v>
      </c>
      <c r="K12" s="18">
        <f t="shared" si="3"/>
        <v>2006159.46</v>
      </c>
      <c r="L12" s="6">
        <v>127.19</v>
      </c>
    </row>
    <row r="13" spans="1:18" ht="16.5" customHeight="1" x14ac:dyDescent="0.25">
      <c r="A13" s="16">
        <v>8</v>
      </c>
      <c r="B13" s="17" t="s">
        <v>98</v>
      </c>
      <c r="C13" s="6">
        <v>13562</v>
      </c>
      <c r="D13" s="18">
        <v>6491623500</v>
      </c>
      <c r="E13" s="18">
        <f t="shared" si="0"/>
        <v>6491623.5</v>
      </c>
      <c r="F13" s="18">
        <v>1112285716</v>
      </c>
      <c r="G13" s="18">
        <f t="shared" si="1"/>
        <v>1112285.716</v>
      </c>
      <c r="H13" s="18">
        <v>1935907634</v>
      </c>
      <c r="I13" s="18">
        <f t="shared" si="2"/>
        <v>1935907.6340000001</v>
      </c>
      <c r="J13" s="18">
        <v>2178234893</v>
      </c>
      <c r="K13" s="18">
        <f t="shared" si="3"/>
        <v>2178234.8930000002</v>
      </c>
      <c r="L13" s="6">
        <v>180.31</v>
      </c>
    </row>
    <row r="14" spans="1:18" ht="16.5" customHeight="1" x14ac:dyDescent="0.25">
      <c r="A14" s="16">
        <v>9</v>
      </c>
      <c r="B14" s="17" t="s">
        <v>99</v>
      </c>
      <c r="C14" s="6">
        <v>94076</v>
      </c>
      <c r="D14" s="18">
        <v>6993693990</v>
      </c>
      <c r="E14" s="18">
        <f t="shared" si="0"/>
        <v>6993693.9900000002</v>
      </c>
      <c r="F14" s="18">
        <v>150349307</v>
      </c>
      <c r="G14" s="18">
        <f t="shared" si="1"/>
        <v>150349.307</v>
      </c>
      <c r="H14" s="18">
        <v>133638882</v>
      </c>
      <c r="I14" s="18">
        <f t="shared" si="2"/>
        <v>133638.88200000001</v>
      </c>
      <c r="J14" s="18">
        <v>633126017</v>
      </c>
      <c r="K14" s="18">
        <f t="shared" si="3"/>
        <v>633126.01699999999</v>
      </c>
      <c r="L14" s="6">
        <v>109.96</v>
      </c>
    </row>
    <row r="15" spans="1:18" ht="16.5" customHeight="1" x14ac:dyDescent="0.25">
      <c r="A15" s="16">
        <v>10</v>
      </c>
      <c r="B15" s="17" t="s">
        <v>100</v>
      </c>
      <c r="C15" s="6">
        <v>72153</v>
      </c>
      <c r="D15" s="18">
        <v>5969495753</v>
      </c>
      <c r="E15" s="18">
        <f t="shared" si="0"/>
        <v>5969495.7529999996</v>
      </c>
      <c r="F15" s="18">
        <v>394788000</v>
      </c>
      <c r="G15" s="18">
        <f t="shared" si="1"/>
        <v>394788</v>
      </c>
      <c r="H15" s="18">
        <v>716064000</v>
      </c>
      <c r="I15" s="18">
        <f t="shared" si="2"/>
        <v>716064</v>
      </c>
      <c r="J15" s="18">
        <v>660741000</v>
      </c>
      <c r="K15" s="18">
        <f t="shared" si="3"/>
        <v>660741</v>
      </c>
      <c r="L15" s="6">
        <v>135</v>
      </c>
    </row>
    <row r="16" spans="1:18" ht="16.5" customHeight="1" x14ac:dyDescent="0.25">
      <c r="A16" s="16">
        <v>11</v>
      </c>
      <c r="B16" s="17" t="s">
        <v>101</v>
      </c>
      <c r="C16" s="6">
        <v>142828</v>
      </c>
      <c r="D16" s="18">
        <v>5881402000</v>
      </c>
      <c r="E16" s="18">
        <f t="shared" si="0"/>
        <v>5881402</v>
      </c>
      <c r="F16" s="18">
        <v>1018245374</v>
      </c>
      <c r="G16" s="18">
        <f t="shared" si="1"/>
        <v>1018245.374</v>
      </c>
      <c r="H16" s="18">
        <v>1117363714</v>
      </c>
      <c r="I16" s="18">
        <f t="shared" si="2"/>
        <v>1117363.7139999999</v>
      </c>
      <c r="J16" s="18">
        <v>1616345220</v>
      </c>
      <c r="K16" s="18">
        <f t="shared" si="3"/>
        <v>1616345.22</v>
      </c>
      <c r="L16" s="6">
        <v>141.16999999999999</v>
      </c>
    </row>
    <row r="17" spans="1:12" x14ac:dyDescent="0.25">
      <c r="A17" s="16">
        <v>12</v>
      </c>
      <c r="B17" s="17" t="s">
        <v>102</v>
      </c>
      <c r="C17" s="6">
        <v>46988</v>
      </c>
      <c r="D17" s="18">
        <v>8221666951</v>
      </c>
      <c r="E17" s="18">
        <f t="shared" si="0"/>
        <v>8221666.9510000004</v>
      </c>
      <c r="F17" s="18">
        <v>416195924</v>
      </c>
      <c r="G17" s="18">
        <f t="shared" si="1"/>
        <v>416195.924</v>
      </c>
      <c r="H17" s="18">
        <v>677127177</v>
      </c>
      <c r="I17" s="18">
        <f t="shared" si="2"/>
        <v>677127.17700000003</v>
      </c>
      <c r="J17" s="18">
        <v>1006624170</v>
      </c>
      <c r="K17" s="18">
        <f t="shared" si="3"/>
        <v>1006624.17</v>
      </c>
      <c r="L17" s="6">
        <v>128.35</v>
      </c>
    </row>
    <row r="18" spans="1:12" x14ac:dyDescent="0.25">
      <c r="A18" s="16">
        <v>13</v>
      </c>
      <c r="B18" s="17" t="s">
        <v>103</v>
      </c>
      <c r="C18" s="6">
        <v>31213</v>
      </c>
      <c r="D18" s="18">
        <v>6598700000</v>
      </c>
      <c r="E18" s="18">
        <f t="shared" si="0"/>
        <v>6598700</v>
      </c>
      <c r="F18" s="18">
        <v>616372739</v>
      </c>
      <c r="G18" s="18">
        <f t="shared" si="1"/>
        <v>616372.73899999994</v>
      </c>
      <c r="H18" s="18">
        <v>898222681</v>
      </c>
      <c r="I18" s="18">
        <f t="shared" si="2"/>
        <v>898222.68099999998</v>
      </c>
      <c r="J18" s="18">
        <v>1302483429</v>
      </c>
      <c r="K18" s="18">
        <f t="shared" si="3"/>
        <v>1302483.429</v>
      </c>
      <c r="L18" s="6">
        <v>124.43</v>
      </c>
    </row>
    <row r="19" spans="1:12" x14ac:dyDescent="0.25">
      <c r="A19" s="16">
        <v>14</v>
      </c>
      <c r="B19" s="17" t="s">
        <v>104</v>
      </c>
      <c r="C19" s="6">
        <v>196942</v>
      </c>
      <c r="D19" s="18">
        <v>4582313020</v>
      </c>
      <c r="E19" s="18">
        <f t="shared" si="0"/>
        <v>4582313.0199999996</v>
      </c>
      <c r="F19" s="18">
        <v>346296108</v>
      </c>
      <c r="G19" s="18">
        <f t="shared" si="1"/>
        <v>346296.10800000001</v>
      </c>
      <c r="H19" s="18">
        <v>551043663</v>
      </c>
      <c r="I19" s="18">
        <f t="shared" si="2"/>
        <v>551043.66299999994</v>
      </c>
      <c r="J19" s="18">
        <v>793006074</v>
      </c>
      <c r="K19" s="18">
        <f t="shared" si="3"/>
        <v>793006.07400000002</v>
      </c>
      <c r="L19" s="6">
        <v>127.56</v>
      </c>
    </row>
    <row r="20" spans="1:12" x14ac:dyDescent="0.25">
      <c r="A20" s="16">
        <v>15</v>
      </c>
      <c r="B20" s="17" t="s">
        <v>105</v>
      </c>
      <c r="C20" s="6">
        <v>26241</v>
      </c>
      <c r="D20" s="18">
        <v>8043221000</v>
      </c>
      <c r="E20" s="18">
        <f t="shared" si="0"/>
        <v>8043221</v>
      </c>
      <c r="F20" s="18">
        <v>2098162781</v>
      </c>
      <c r="G20" s="18">
        <f t="shared" si="1"/>
        <v>2098162.781</v>
      </c>
      <c r="H20" s="18">
        <v>2819333752</v>
      </c>
      <c r="I20" s="18">
        <f t="shared" si="2"/>
        <v>2819333.7519999999</v>
      </c>
      <c r="J20" s="18">
        <v>3613200322</v>
      </c>
      <c r="K20" s="18">
        <f t="shared" si="3"/>
        <v>3613200.3220000002</v>
      </c>
      <c r="L20" s="6">
        <v>228</v>
      </c>
    </row>
    <row r="21" spans="1:12" x14ac:dyDescent="0.25">
      <c r="A21" s="16">
        <v>16</v>
      </c>
      <c r="B21" s="17" t="s">
        <v>106</v>
      </c>
      <c r="C21" s="6">
        <v>73333</v>
      </c>
      <c r="D21" s="18">
        <v>8085598840</v>
      </c>
      <c r="E21" s="18">
        <f t="shared" si="0"/>
        <v>8085598.8399999999</v>
      </c>
      <c r="F21" s="18">
        <v>813977000</v>
      </c>
      <c r="G21" s="18">
        <f t="shared" si="1"/>
        <v>813977</v>
      </c>
      <c r="H21" s="18">
        <v>1198297000</v>
      </c>
      <c r="I21" s="18">
        <f t="shared" si="2"/>
        <v>1198297</v>
      </c>
      <c r="J21" s="18">
        <v>1200382000</v>
      </c>
      <c r="K21" s="18">
        <f t="shared" si="3"/>
        <v>1200382</v>
      </c>
      <c r="L21" s="6">
        <v>129</v>
      </c>
    </row>
    <row r="22" spans="1:12" x14ac:dyDescent="0.25">
      <c r="A22" s="16">
        <v>17</v>
      </c>
      <c r="B22" s="17" t="s">
        <v>107</v>
      </c>
      <c r="C22" s="6">
        <v>23536</v>
      </c>
      <c r="D22" s="20">
        <v>8042662000</v>
      </c>
      <c r="E22" s="18">
        <f t="shared" si="0"/>
        <v>8042662</v>
      </c>
      <c r="F22" s="18">
        <v>483848520</v>
      </c>
      <c r="G22" s="18">
        <f t="shared" si="1"/>
        <v>483848.52</v>
      </c>
      <c r="H22" s="18">
        <v>2882978165</v>
      </c>
      <c r="I22" s="18">
        <f t="shared" si="2"/>
        <v>2882978.165</v>
      </c>
      <c r="J22" s="18">
        <v>3117893760</v>
      </c>
      <c r="K22" s="18">
        <f t="shared" si="3"/>
        <v>3117893.76</v>
      </c>
      <c r="L22" s="6">
        <v>140.63</v>
      </c>
    </row>
    <row r="23" spans="1:12" x14ac:dyDescent="0.25">
      <c r="A23" s="16">
        <v>18</v>
      </c>
      <c r="B23" s="17" t="s">
        <v>108</v>
      </c>
      <c r="C23" s="6">
        <v>214519</v>
      </c>
      <c r="D23" s="18">
        <v>10645599000</v>
      </c>
      <c r="E23" s="18">
        <f t="shared" si="0"/>
        <v>10645599</v>
      </c>
      <c r="F23" s="18">
        <v>1961852000</v>
      </c>
      <c r="G23" s="18">
        <f t="shared" si="1"/>
        <v>1961852</v>
      </c>
      <c r="H23" s="18">
        <v>2550883000</v>
      </c>
      <c r="I23" s="18">
        <f t="shared" si="2"/>
        <v>2550883</v>
      </c>
      <c r="J23" s="18">
        <v>3114131000</v>
      </c>
      <c r="K23" s="18">
        <f t="shared" si="3"/>
        <v>3114131</v>
      </c>
      <c r="L23" s="6">
        <v>176</v>
      </c>
    </row>
    <row r="24" spans="1:12" x14ac:dyDescent="0.25">
      <c r="A24" s="16">
        <v>19</v>
      </c>
      <c r="B24" s="17" t="s">
        <v>109</v>
      </c>
      <c r="C24" s="6">
        <v>73642</v>
      </c>
      <c r="D24" s="18">
        <v>4679058200</v>
      </c>
      <c r="E24" s="18">
        <f t="shared" si="0"/>
        <v>4679058.2</v>
      </c>
      <c r="F24" s="18">
        <v>348254007</v>
      </c>
      <c r="G24" s="18">
        <f t="shared" si="1"/>
        <v>348254.00699999998</v>
      </c>
      <c r="H24" s="18">
        <v>707840700</v>
      </c>
      <c r="I24" s="18">
        <f t="shared" si="2"/>
        <v>707840.7</v>
      </c>
      <c r="J24" s="18">
        <v>1189527012</v>
      </c>
      <c r="K24" s="18">
        <f t="shared" si="3"/>
        <v>1189527.0120000001</v>
      </c>
      <c r="L24" s="6">
        <v>134</v>
      </c>
    </row>
    <row r="25" spans="1:12" x14ac:dyDescent="0.25">
      <c r="A25" s="16">
        <v>20</v>
      </c>
      <c r="B25" s="17" t="s">
        <v>110</v>
      </c>
      <c r="C25" s="6">
        <v>42477</v>
      </c>
      <c r="D25" s="18">
        <v>6971798259</v>
      </c>
      <c r="E25" s="18">
        <f t="shared" si="0"/>
        <v>6971798.2589999996</v>
      </c>
      <c r="F25" s="18">
        <v>1065436141</v>
      </c>
      <c r="G25" s="18">
        <f t="shared" si="1"/>
        <v>1065436.1410000001</v>
      </c>
      <c r="H25" s="18">
        <v>1331881801</v>
      </c>
      <c r="I25" s="18">
        <f t="shared" si="2"/>
        <v>1331881.801</v>
      </c>
      <c r="J25" s="18">
        <v>1523237401</v>
      </c>
      <c r="K25" s="18">
        <f t="shared" si="3"/>
        <v>1523237.4010000001</v>
      </c>
      <c r="L25" s="6">
        <v>150.15</v>
      </c>
    </row>
    <row r="26" spans="1:12" x14ac:dyDescent="0.25">
      <c r="A26" s="16">
        <v>21</v>
      </c>
      <c r="B26" s="17" t="s">
        <v>111</v>
      </c>
      <c r="C26" s="6">
        <v>120350</v>
      </c>
      <c r="D26" s="18">
        <v>8031117000</v>
      </c>
      <c r="E26" s="18">
        <f t="shared" si="0"/>
        <v>8031117</v>
      </c>
      <c r="F26" s="18">
        <v>680317101</v>
      </c>
      <c r="G26" s="18">
        <f t="shared" si="1"/>
        <v>680317.10100000002</v>
      </c>
      <c r="H26" s="18">
        <v>1066506232</v>
      </c>
      <c r="I26" s="18">
        <f t="shared" si="2"/>
        <v>1066506.2320000001</v>
      </c>
      <c r="J26" s="18">
        <v>1473465567</v>
      </c>
      <c r="K26" s="18">
        <f t="shared" si="3"/>
        <v>1473465.567</v>
      </c>
      <c r="L26" s="6">
        <v>151</v>
      </c>
    </row>
    <row r="27" spans="1:12" x14ac:dyDescent="0.25">
      <c r="A27" s="16">
        <v>22</v>
      </c>
      <c r="B27" s="17" t="s">
        <v>112</v>
      </c>
      <c r="C27" s="6">
        <v>86514</v>
      </c>
      <c r="D27" s="18">
        <v>6461774334</v>
      </c>
      <c r="E27" s="18">
        <f t="shared" si="0"/>
        <v>6461774.3339999998</v>
      </c>
      <c r="F27" s="18">
        <v>500990000</v>
      </c>
      <c r="G27" s="18">
        <f t="shared" si="1"/>
        <v>500990</v>
      </c>
      <c r="H27" s="18">
        <v>115065000</v>
      </c>
      <c r="I27" s="18">
        <f t="shared" si="2"/>
        <v>115065</v>
      </c>
      <c r="J27" s="18">
        <v>1467347000</v>
      </c>
      <c r="K27" s="18">
        <f t="shared" si="3"/>
        <v>1467347</v>
      </c>
      <c r="L27" s="6">
        <v>166.07</v>
      </c>
    </row>
    <row r="28" spans="1:12" x14ac:dyDescent="0.25">
      <c r="A28" s="16">
        <v>23</v>
      </c>
      <c r="B28" s="17" t="s">
        <v>113</v>
      </c>
      <c r="C28" s="6">
        <v>54000</v>
      </c>
      <c r="D28" s="18">
        <v>8033298869.5100002</v>
      </c>
      <c r="E28" s="18">
        <f t="shared" si="0"/>
        <v>8033298.8695100006</v>
      </c>
      <c r="F28" s="18">
        <v>745589121</v>
      </c>
      <c r="G28" s="18">
        <f t="shared" si="1"/>
        <v>745589.12100000004</v>
      </c>
      <c r="H28" s="18">
        <v>1115759677</v>
      </c>
      <c r="I28" s="18">
        <f t="shared" si="2"/>
        <v>1115759.6769999999</v>
      </c>
      <c r="J28" s="18">
        <v>1467942925</v>
      </c>
      <c r="K28" s="18">
        <f t="shared" si="3"/>
        <v>1467942.925</v>
      </c>
      <c r="L28" s="6">
        <v>421</v>
      </c>
    </row>
    <row r="29" spans="1:12" x14ac:dyDescent="0.25">
      <c r="A29" s="16">
        <v>24</v>
      </c>
      <c r="B29" s="17" t="s">
        <v>114</v>
      </c>
      <c r="C29" s="6">
        <v>45000</v>
      </c>
      <c r="D29" s="18">
        <v>8001255440</v>
      </c>
      <c r="E29" s="18">
        <f t="shared" si="0"/>
        <v>8001255.4400000004</v>
      </c>
      <c r="F29" s="18">
        <v>624141000</v>
      </c>
      <c r="G29" s="18">
        <f t="shared" si="1"/>
        <v>624141</v>
      </c>
      <c r="H29" s="18">
        <v>996054000</v>
      </c>
      <c r="I29" s="18">
        <f t="shared" si="2"/>
        <v>996054</v>
      </c>
      <c r="J29" s="18">
        <v>1304103000</v>
      </c>
      <c r="K29" s="18">
        <f t="shared" si="3"/>
        <v>1304103</v>
      </c>
      <c r="L29" s="6">
        <v>131.36000000000001</v>
      </c>
    </row>
    <row r="30" spans="1:12" x14ac:dyDescent="0.25">
      <c r="A30" s="16">
        <v>25</v>
      </c>
      <c r="B30" s="17" t="s">
        <v>115</v>
      </c>
      <c r="C30" s="6">
        <v>57081</v>
      </c>
      <c r="D30" s="18">
        <v>6826117155</v>
      </c>
      <c r="E30" s="18">
        <f t="shared" si="0"/>
        <v>6826117.1550000003</v>
      </c>
      <c r="F30" s="18">
        <v>767080512</v>
      </c>
      <c r="G30" s="18">
        <f t="shared" si="1"/>
        <v>767080.51199999999</v>
      </c>
      <c r="H30" s="18">
        <v>1254918004</v>
      </c>
      <c r="I30" s="18">
        <f t="shared" si="2"/>
        <v>1254918.004</v>
      </c>
      <c r="J30" s="18">
        <v>1386175502</v>
      </c>
      <c r="K30" s="18">
        <f t="shared" si="3"/>
        <v>1386175.5020000001</v>
      </c>
      <c r="L30" s="6">
        <v>130.28</v>
      </c>
    </row>
    <row r="31" spans="1:12" x14ac:dyDescent="0.25">
      <c r="A31" s="16">
        <v>26</v>
      </c>
      <c r="B31" s="17" t="s">
        <v>116</v>
      </c>
      <c r="C31" s="6">
        <v>134726</v>
      </c>
      <c r="D31" s="18">
        <v>4005715333</v>
      </c>
      <c r="E31" s="18">
        <f t="shared" si="0"/>
        <v>4005715.3330000001</v>
      </c>
      <c r="F31" s="18">
        <v>1310351917.3499999</v>
      </c>
      <c r="G31" s="18">
        <f t="shared" si="1"/>
        <v>1310351.91735</v>
      </c>
      <c r="H31" s="18">
        <v>1292494632.3199999</v>
      </c>
      <c r="I31" s="18">
        <f t="shared" si="2"/>
        <v>1292494.6323199999</v>
      </c>
      <c r="J31" s="18">
        <v>1421596136.01</v>
      </c>
      <c r="K31" s="18">
        <f t="shared" si="3"/>
        <v>1421596.13601</v>
      </c>
      <c r="L31" s="6">
        <v>296.18</v>
      </c>
    </row>
    <row r="32" spans="1:12" x14ac:dyDescent="0.25">
      <c r="A32" s="16">
        <v>27</v>
      </c>
      <c r="B32" s="17" t="s">
        <v>117</v>
      </c>
      <c r="C32" s="6">
        <v>125559</v>
      </c>
      <c r="D32" s="18">
        <v>7089179100</v>
      </c>
      <c r="E32" s="18">
        <f t="shared" si="0"/>
        <v>7089179.0999999996</v>
      </c>
      <c r="F32" s="18">
        <v>470857056</v>
      </c>
      <c r="G32" s="18">
        <f t="shared" si="1"/>
        <v>470857.05599999998</v>
      </c>
      <c r="H32" s="18">
        <v>951378476</v>
      </c>
      <c r="I32" s="18">
        <f t="shared" si="2"/>
        <v>951378.47600000002</v>
      </c>
      <c r="J32" s="18">
        <v>1176088732</v>
      </c>
      <c r="K32" s="18">
        <f t="shared" si="3"/>
        <v>1176088.7320000001</v>
      </c>
      <c r="L32" s="6">
        <v>117.15</v>
      </c>
    </row>
    <row r="33" spans="1:13" x14ac:dyDescent="0.25">
      <c r="A33" s="21"/>
      <c r="B33" s="22"/>
      <c r="C33" s="22"/>
      <c r="D33" s="23"/>
      <c r="E33" s="23"/>
      <c r="F33" s="23"/>
      <c r="G33" s="23"/>
      <c r="H33" s="23"/>
      <c r="I33" s="23"/>
      <c r="J33" s="23"/>
      <c r="K33" s="23"/>
      <c r="L33" s="24"/>
    </row>
    <row r="34" spans="1:13" x14ac:dyDescent="0.25">
      <c r="A34" s="16"/>
      <c r="B34" s="60" t="s">
        <v>136</v>
      </c>
      <c r="C34" s="25"/>
      <c r="D34" s="18"/>
      <c r="E34" s="18"/>
      <c r="F34" s="18"/>
      <c r="G34" s="18"/>
      <c r="H34" s="18"/>
      <c r="I34" s="18"/>
      <c r="J34" s="18"/>
      <c r="K34" s="18"/>
      <c r="L34" s="6"/>
    </row>
    <row r="35" spans="1:13" x14ac:dyDescent="0.25">
      <c r="A35" s="16">
        <v>1</v>
      </c>
      <c r="B35" s="26" t="s">
        <v>88</v>
      </c>
      <c r="C35" s="6">
        <v>39910</v>
      </c>
      <c r="D35" s="18">
        <v>1633277148.0899999</v>
      </c>
      <c r="E35" s="18">
        <f>D35/1000</f>
        <v>1633277.1480899998</v>
      </c>
      <c r="F35" s="18">
        <v>246475910</v>
      </c>
      <c r="G35" s="18">
        <f>F35/1000</f>
        <v>246475.91</v>
      </c>
      <c r="H35" s="18">
        <v>148137100</v>
      </c>
      <c r="I35" s="18">
        <f>H35/1000</f>
        <v>148137.1</v>
      </c>
      <c r="J35" s="18">
        <v>28447060</v>
      </c>
      <c r="K35" s="18">
        <f>J35/1000</f>
        <v>28447.06</v>
      </c>
      <c r="L35" s="6">
        <v>131.72</v>
      </c>
    </row>
    <row r="36" spans="1:13" x14ac:dyDescent="0.25">
      <c r="A36" s="16">
        <v>2</v>
      </c>
      <c r="B36" s="26" t="s">
        <v>18</v>
      </c>
      <c r="C36" s="6">
        <v>2517</v>
      </c>
      <c r="D36" s="18">
        <v>576843750</v>
      </c>
      <c r="E36" s="18">
        <f t="shared" ref="E36:E54" si="4">D36/1000</f>
        <v>576843.75</v>
      </c>
      <c r="F36" s="18">
        <v>71365000</v>
      </c>
      <c r="G36" s="18">
        <f t="shared" ref="G36:G54" si="5">F36/1000</f>
        <v>71365</v>
      </c>
      <c r="H36" s="18">
        <v>99841000</v>
      </c>
      <c r="I36" s="18">
        <f t="shared" ref="I36:I54" si="6">H36/1000</f>
        <v>99841</v>
      </c>
      <c r="J36" s="18">
        <v>150449000</v>
      </c>
      <c r="K36" s="18">
        <f t="shared" ref="K36:K54" si="7">J36/1000</f>
        <v>150449</v>
      </c>
      <c r="L36" s="6">
        <v>124.02</v>
      </c>
    </row>
    <row r="37" spans="1:13" x14ac:dyDescent="0.25">
      <c r="A37" s="16">
        <v>3</v>
      </c>
      <c r="B37" s="26" t="s">
        <v>19</v>
      </c>
      <c r="C37" s="6">
        <v>29311</v>
      </c>
      <c r="D37" s="18">
        <v>1843926200</v>
      </c>
      <c r="E37" s="18">
        <f t="shared" si="4"/>
        <v>1843926.2</v>
      </c>
      <c r="F37" s="18">
        <v>217615602</v>
      </c>
      <c r="G37" s="18">
        <f t="shared" si="5"/>
        <v>217615.60200000001</v>
      </c>
      <c r="H37" s="18">
        <v>298954955</v>
      </c>
      <c r="I37" s="18">
        <f t="shared" si="6"/>
        <v>298954.95500000002</v>
      </c>
      <c r="J37" s="18">
        <v>403160737</v>
      </c>
      <c r="K37" s="18">
        <f t="shared" si="7"/>
        <v>403160.73700000002</v>
      </c>
      <c r="L37" s="6">
        <v>150.49</v>
      </c>
    </row>
    <row r="38" spans="1:13" x14ac:dyDescent="0.25">
      <c r="A38" s="16">
        <v>4</v>
      </c>
      <c r="B38" s="26" t="s">
        <v>20</v>
      </c>
      <c r="C38" s="6">
        <v>3974</v>
      </c>
      <c r="D38" s="18">
        <v>458750812.5</v>
      </c>
      <c r="E38" s="18">
        <f t="shared" si="4"/>
        <v>458750.8125</v>
      </c>
      <c r="F38" s="18">
        <v>12473980</v>
      </c>
      <c r="G38" s="18">
        <f t="shared" si="5"/>
        <v>12473.98</v>
      </c>
      <c r="H38" s="18">
        <v>16148800</v>
      </c>
      <c r="I38" s="18">
        <f t="shared" si="6"/>
        <v>16148.8</v>
      </c>
      <c r="J38" s="18">
        <v>37974320</v>
      </c>
      <c r="K38" s="18">
        <f t="shared" si="7"/>
        <v>37974.32</v>
      </c>
      <c r="L38" s="6">
        <v>230</v>
      </c>
    </row>
    <row r="39" spans="1:13" x14ac:dyDescent="0.25">
      <c r="A39" s="16">
        <v>5</v>
      </c>
      <c r="B39" s="26" t="s">
        <v>21</v>
      </c>
      <c r="C39" s="6">
        <v>89187</v>
      </c>
      <c r="D39" s="18">
        <v>2365697910</v>
      </c>
      <c r="E39" s="18">
        <f t="shared" si="4"/>
        <v>2365697.91</v>
      </c>
      <c r="F39" s="18">
        <v>102988000</v>
      </c>
      <c r="G39" s="18">
        <f t="shared" si="5"/>
        <v>102988</v>
      </c>
      <c r="H39" s="18">
        <v>151948000</v>
      </c>
      <c r="I39" s="18">
        <f t="shared" si="6"/>
        <v>151948</v>
      </c>
      <c r="J39" s="18">
        <v>228458000</v>
      </c>
      <c r="K39" s="18">
        <f t="shared" si="7"/>
        <v>228458</v>
      </c>
      <c r="L39" s="6">
        <v>119</v>
      </c>
    </row>
    <row r="40" spans="1:13" x14ac:dyDescent="0.25">
      <c r="A40" s="16">
        <v>6</v>
      </c>
      <c r="B40" s="26" t="s">
        <v>22</v>
      </c>
      <c r="C40" s="6">
        <v>17113</v>
      </c>
      <c r="D40" s="18">
        <v>2291487200</v>
      </c>
      <c r="E40" s="18">
        <f t="shared" si="4"/>
        <v>2291487.2000000002</v>
      </c>
      <c r="F40" s="18">
        <v>254337940</v>
      </c>
      <c r="G40" s="18">
        <f t="shared" si="5"/>
        <v>254337.94</v>
      </c>
      <c r="H40" s="18">
        <v>332876498</v>
      </c>
      <c r="I40" s="18">
        <f t="shared" si="6"/>
        <v>332876.49800000002</v>
      </c>
      <c r="J40" s="18">
        <v>502505632</v>
      </c>
      <c r="K40" s="18">
        <f t="shared" si="7"/>
        <v>502505.63199999998</v>
      </c>
      <c r="L40" s="6">
        <v>133.58000000000001</v>
      </c>
    </row>
    <row r="41" spans="1:13" x14ac:dyDescent="0.25">
      <c r="A41" s="16">
        <v>7</v>
      </c>
      <c r="B41" s="26" t="s">
        <v>23</v>
      </c>
      <c r="C41" s="6">
        <v>36862</v>
      </c>
      <c r="D41" s="18">
        <v>2062769848.95</v>
      </c>
      <c r="E41" s="18">
        <f t="shared" si="4"/>
        <v>2062769.84895</v>
      </c>
      <c r="F41" s="18">
        <v>81305000</v>
      </c>
      <c r="G41" s="18">
        <f t="shared" si="5"/>
        <v>81305</v>
      </c>
      <c r="H41" s="18">
        <v>105022000</v>
      </c>
      <c r="I41" s="18">
        <f t="shared" si="6"/>
        <v>105022</v>
      </c>
      <c r="J41" s="18">
        <v>176595000</v>
      </c>
      <c r="K41" s="18">
        <f t="shared" si="7"/>
        <v>176595</v>
      </c>
      <c r="L41" s="6">
        <v>100</v>
      </c>
    </row>
    <row r="42" spans="1:13" x14ac:dyDescent="0.25">
      <c r="A42" s="16">
        <v>8</v>
      </c>
      <c r="B42" s="26" t="s">
        <v>24</v>
      </c>
      <c r="C42" s="6">
        <v>1479</v>
      </c>
      <c r="D42" s="18">
        <v>600000000</v>
      </c>
      <c r="E42" s="18">
        <f t="shared" si="4"/>
        <v>600000</v>
      </c>
      <c r="F42" s="18">
        <v>39040658.469999999</v>
      </c>
      <c r="G42" s="18">
        <f t="shared" si="5"/>
        <v>39040.658470000002</v>
      </c>
      <c r="H42" s="18">
        <v>63216370.880000003</v>
      </c>
      <c r="I42" s="18">
        <f t="shared" si="6"/>
        <v>63216.370880000002</v>
      </c>
      <c r="J42" s="18">
        <v>71270833.200000003</v>
      </c>
      <c r="K42" s="18">
        <f t="shared" si="7"/>
        <v>71270.833200000008</v>
      </c>
      <c r="L42" s="6">
        <v>130.56</v>
      </c>
    </row>
    <row r="43" spans="1:13" x14ac:dyDescent="0.25">
      <c r="A43" s="16">
        <v>9</v>
      </c>
      <c r="B43" s="26" t="s">
        <v>25</v>
      </c>
      <c r="C43" s="27">
        <v>11518</v>
      </c>
      <c r="D43" s="20">
        <v>471000000</v>
      </c>
      <c r="E43" s="18">
        <f t="shared" si="4"/>
        <v>471000</v>
      </c>
      <c r="F43" s="20">
        <v>94906500</v>
      </c>
      <c r="G43" s="18">
        <f t="shared" si="5"/>
        <v>94906.5</v>
      </c>
      <c r="H43" s="20">
        <v>104514900</v>
      </c>
      <c r="I43" s="18">
        <f t="shared" si="6"/>
        <v>104514.9</v>
      </c>
      <c r="J43" s="20">
        <v>120764400</v>
      </c>
      <c r="K43" s="18">
        <f t="shared" si="7"/>
        <v>120764.4</v>
      </c>
      <c r="L43" s="27">
        <v>204.7</v>
      </c>
    </row>
    <row r="44" spans="1:13" x14ac:dyDescent="0.25">
      <c r="A44" s="16">
        <v>10</v>
      </c>
      <c r="B44" s="28" t="s">
        <v>26</v>
      </c>
      <c r="C44" s="29">
        <v>1931</v>
      </c>
      <c r="D44" s="30">
        <v>432784500</v>
      </c>
      <c r="E44" s="18">
        <f t="shared" si="4"/>
        <v>432784.5</v>
      </c>
      <c r="F44" s="30">
        <v>26520756.629999999</v>
      </c>
      <c r="G44" s="18">
        <f t="shared" si="5"/>
        <v>26520.75663</v>
      </c>
      <c r="H44" s="30">
        <v>50136735.640000001</v>
      </c>
      <c r="I44" s="18">
        <f t="shared" si="6"/>
        <v>50136.735639999999</v>
      </c>
      <c r="J44" s="30">
        <v>81011997.439999998</v>
      </c>
      <c r="K44" s="18">
        <f t="shared" si="7"/>
        <v>81011.997439999992</v>
      </c>
      <c r="L44" s="29">
        <v>129.82</v>
      </c>
      <c r="M44" s="31"/>
    </row>
    <row r="45" spans="1:13" x14ac:dyDescent="0.25">
      <c r="A45" s="16">
        <v>11</v>
      </c>
      <c r="B45" s="26" t="s">
        <v>27</v>
      </c>
      <c r="C45" s="6">
        <v>4665</v>
      </c>
      <c r="D45" s="18">
        <v>69160000</v>
      </c>
      <c r="E45" s="18">
        <f t="shared" si="4"/>
        <v>69160</v>
      </c>
      <c r="F45" s="18">
        <v>4089689.93</v>
      </c>
      <c r="G45" s="18">
        <f t="shared" si="5"/>
        <v>4089.68993</v>
      </c>
      <c r="H45" s="18">
        <v>4925679.16</v>
      </c>
      <c r="I45" s="18">
        <f t="shared" si="6"/>
        <v>4925.6791600000006</v>
      </c>
      <c r="J45" s="18">
        <v>7122291.1900000004</v>
      </c>
      <c r="K45" s="18">
        <f t="shared" si="7"/>
        <v>7122.2911900000008</v>
      </c>
      <c r="L45" s="6">
        <v>117.29</v>
      </c>
    </row>
    <row r="46" spans="1:13" x14ac:dyDescent="0.25">
      <c r="A46" s="16">
        <v>12</v>
      </c>
      <c r="B46" s="26" t="s">
        <v>28</v>
      </c>
      <c r="C46" s="6">
        <v>17606</v>
      </c>
      <c r="D46" s="18">
        <v>2159802700</v>
      </c>
      <c r="E46" s="18">
        <f t="shared" si="4"/>
        <v>2159802.7000000002</v>
      </c>
      <c r="F46" s="18">
        <v>217644000</v>
      </c>
      <c r="G46" s="18">
        <f t="shared" si="5"/>
        <v>217644</v>
      </c>
      <c r="H46" s="18">
        <v>361369000</v>
      </c>
      <c r="I46" s="18">
        <f t="shared" si="6"/>
        <v>361369</v>
      </c>
      <c r="J46" s="18">
        <v>486934000</v>
      </c>
      <c r="K46" s="18">
        <f t="shared" si="7"/>
        <v>486934</v>
      </c>
      <c r="L46" s="6">
        <v>149.76</v>
      </c>
    </row>
    <row r="47" spans="1:13" x14ac:dyDescent="0.25">
      <c r="A47" s="16">
        <v>13</v>
      </c>
      <c r="B47" s="26" t="s">
        <v>29</v>
      </c>
      <c r="C47" s="6">
        <v>6630</v>
      </c>
      <c r="D47" s="18">
        <v>220294900</v>
      </c>
      <c r="E47" s="18">
        <f t="shared" si="4"/>
        <v>220294.9</v>
      </c>
      <c r="F47" s="18">
        <v>13536630.960000001</v>
      </c>
      <c r="G47" s="18">
        <f t="shared" si="5"/>
        <v>13536.63096</v>
      </c>
      <c r="H47" s="18">
        <v>14271660.970000001</v>
      </c>
      <c r="I47" s="18">
        <f t="shared" si="6"/>
        <v>14271.660970000001</v>
      </c>
      <c r="J47" s="18">
        <v>36109585.200000003</v>
      </c>
      <c r="K47" s="18">
        <f t="shared" si="7"/>
        <v>36109.585200000001</v>
      </c>
      <c r="L47" s="6">
        <v>127.09</v>
      </c>
    </row>
    <row r="48" spans="1:13" x14ac:dyDescent="0.25">
      <c r="A48" s="16">
        <v>14</v>
      </c>
      <c r="B48" s="26" t="s">
        <v>89</v>
      </c>
      <c r="C48" s="6">
        <v>30877</v>
      </c>
      <c r="D48" s="18">
        <v>1643944800</v>
      </c>
      <c r="E48" s="18">
        <f t="shared" si="4"/>
        <v>1643944.8</v>
      </c>
      <c r="F48" s="18">
        <v>154361835.52000001</v>
      </c>
      <c r="G48" s="18">
        <f t="shared" si="5"/>
        <v>154361.83552000002</v>
      </c>
      <c r="H48" s="18">
        <v>296530397.13999999</v>
      </c>
      <c r="I48" s="18">
        <f t="shared" si="6"/>
        <v>296530.39713999996</v>
      </c>
      <c r="J48" s="18">
        <v>394393530.29000002</v>
      </c>
      <c r="K48" s="18">
        <f t="shared" si="7"/>
        <v>394393.53029000002</v>
      </c>
      <c r="L48" s="6">
        <v>160.62</v>
      </c>
    </row>
    <row r="49" spans="1:14" x14ac:dyDescent="0.25">
      <c r="A49" s="16">
        <v>15</v>
      </c>
      <c r="B49" s="32" t="s">
        <v>30</v>
      </c>
      <c r="C49" s="6">
        <v>14096</v>
      </c>
      <c r="D49" s="18">
        <v>1358474500</v>
      </c>
      <c r="E49" s="18">
        <f t="shared" si="4"/>
        <v>1358474.5</v>
      </c>
      <c r="F49" s="18">
        <v>1880258.77</v>
      </c>
      <c r="G49" s="18">
        <f t="shared" si="5"/>
        <v>1880.2587699999999</v>
      </c>
      <c r="H49" s="18">
        <v>9621802.5199999996</v>
      </c>
      <c r="I49" s="18">
        <f t="shared" si="6"/>
        <v>9621.8025199999993</v>
      </c>
      <c r="J49" s="18">
        <v>23685844.879999999</v>
      </c>
      <c r="K49" s="18">
        <f t="shared" si="7"/>
        <v>23685.844880000001</v>
      </c>
      <c r="L49" s="6">
        <v>116.15</v>
      </c>
    </row>
    <row r="50" spans="1:14" x14ac:dyDescent="0.25">
      <c r="A50" s="16">
        <v>16</v>
      </c>
      <c r="B50" s="33" t="s">
        <v>31</v>
      </c>
      <c r="C50" s="29">
        <v>15745</v>
      </c>
      <c r="D50" s="30">
        <v>17623836.859999999</v>
      </c>
      <c r="E50" s="18">
        <f t="shared" si="4"/>
        <v>17623.836859999999</v>
      </c>
      <c r="F50" s="30">
        <v>178031495</v>
      </c>
      <c r="G50" s="18">
        <f t="shared" si="5"/>
        <v>178031.495</v>
      </c>
      <c r="H50" s="30">
        <v>215446381</v>
      </c>
      <c r="I50" s="18">
        <f t="shared" si="6"/>
        <v>215446.38099999999</v>
      </c>
      <c r="J50" s="30">
        <v>349078952.26999998</v>
      </c>
      <c r="K50" s="18">
        <f t="shared" si="7"/>
        <v>349078.95227000001</v>
      </c>
      <c r="L50" s="29">
        <v>142.38999999999999</v>
      </c>
    </row>
    <row r="51" spans="1:14" x14ac:dyDescent="0.25">
      <c r="A51" s="16">
        <v>17</v>
      </c>
      <c r="B51" s="26" t="s">
        <v>32</v>
      </c>
      <c r="C51" s="6">
        <v>9873</v>
      </c>
      <c r="D51" s="18">
        <v>1102892300</v>
      </c>
      <c r="E51" s="18">
        <f t="shared" si="4"/>
        <v>1102892.3</v>
      </c>
      <c r="F51" s="18">
        <v>182235420</v>
      </c>
      <c r="G51" s="18">
        <f t="shared" si="5"/>
        <v>182235.42</v>
      </c>
      <c r="H51" s="18">
        <v>269644250</v>
      </c>
      <c r="I51" s="18">
        <f t="shared" si="6"/>
        <v>269644.25</v>
      </c>
      <c r="J51" s="18">
        <v>350471220</v>
      </c>
      <c r="K51" s="18">
        <f t="shared" si="7"/>
        <v>350471.22</v>
      </c>
      <c r="L51" s="6">
        <v>149.46</v>
      </c>
    </row>
    <row r="52" spans="1:14" x14ac:dyDescent="0.25">
      <c r="A52" s="16">
        <v>18</v>
      </c>
      <c r="B52" s="26" t="s">
        <v>33</v>
      </c>
      <c r="C52" s="6">
        <v>2431</v>
      </c>
      <c r="D52" s="18">
        <v>262192500</v>
      </c>
      <c r="E52" s="18">
        <f t="shared" si="4"/>
        <v>262192.5</v>
      </c>
      <c r="F52" s="18">
        <v>17215877.309999999</v>
      </c>
      <c r="G52" s="18">
        <f t="shared" si="5"/>
        <v>17215.87731</v>
      </c>
      <c r="H52" s="18">
        <v>26868876.059999999</v>
      </c>
      <c r="I52" s="18">
        <f t="shared" si="6"/>
        <v>26868.876059999999</v>
      </c>
      <c r="J52" s="18">
        <v>37237750.579999998</v>
      </c>
      <c r="K52" s="18">
        <f t="shared" si="7"/>
        <v>37237.75058</v>
      </c>
      <c r="L52" s="6">
        <v>126.68</v>
      </c>
    </row>
    <row r="53" spans="1:14" x14ac:dyDescent="0.25">
      <c r="A53" s="16">
        <v>19</v>
      </c>
      <c r="B53" s="26" t="s">
        <v>34</v>
      </c>
      <c r="C53" s="6">
        <v>13975</v>
      </c>
      <c r="D53" s="18">
        <v>460849900</v>
      </c>
      <c r="E53" s="18">
        <f t="shared" si="4"/>
        <v>460849.9</v>
      </c>
      <c r="F53" s="18">
        <v>40874829.960000001</v>
      </c>
      <c r="G53" s="18">
        <f t="shared" si="5"/>
        <v>40874.829960000003</v>
      </c>
      <c r="H53" s="18">
        <v>80160387.069999993</v>
      </c>
      <c r="I53" s="18">
        <f t="shared" si="6"/>
        <v>80160.387069999997</v>
      </c>
      <c r="J53" s="18">
        <v>99001859.030000001</v>
      </c>
      <c r="K53" s="18">
        <f t="shared" si="7"/>
        <v>99001.859030000007</v>
      </c>
      <c r="L53" s="6">
        <v>126.36</v>
      </c>
    </row>
    <row r="54" spans="1:14" x14ac:dyDescent="0.25">
      <c r="A54" s="16">
        <v>20</v>
      </c>
      <c r="B54" s="34" t="s">
        <v>35</v>
      </c>
      <c r="C54" s="35">
        <v>47124</v>
      </c>
      <c r="D54" s="36">
        <v>2204243475.6999998</v>
      </c>
      <c r="E54" s="18">
        <f t="shared" si="4"/>
        <v>2204243.4756999998</v>
      </c>
      <c r="F54" s="36">
        <v>144209770</v>
      </c>
      <c r="G54" s="18">
        <f t="shared" si="5"/>
        <v>144209.76999999999</v>
      </c>
      <c r="H54" s="36">
        <v>222017420</v>
      </c>
      <c r="I54" s="18">
        <f t="shared" si="6"/>
        <v>222017.42</v>
      </c>
      <c r="J54" s="36">
        <v>3490112270</v>
      </c>
      <c r="K54" s="18">
        <f t="shared" si="7"/>
        <v>3490112.27</v>
      </c>
      <c r="L54" s="35">
        <v>128.31</v>
      </c>
    </row>
    <row r="55" spans="1:14" x14ac:dyDescent="0.25">
      <c r="A55" s="16">
        <v>21</v>
      </c>
      <c r="B55" s="37" t="s">
        <v>90</v>
      </c>
      <c r="C55" s="38">
        <v>66881</v>
      </c>
      <c r="D55" s="39">
        <v>2633797434</v>
      </c>
      <c r="E55" s="39">
        <v>2633797.4339999999</v>
      </c>
      <c r="F55" s="39">
        <v>333805953</v>
      </c>
      <c r="G55" s="18">
        <v>139223.296</v>
      </c>
      <c r="H55" s="38">
        <v>75.5</v>
      </c>
      <c r="I55" s="40">
        <v>333805.95299999998</v>
      </c>
      <c r="J55" s="41"/>
      <c r="K55" s="18">
        <v>444246.09399999998</v>
      </c>
      <c r="L55" s="38">
        <v>132.44999999999999</v>
      </c>
      <c r="M55" s="42"/>
    </row>
    <row r="56" spans="1:14" x14ac:dyDescent="0.25">
      <c r="A56" s="16"/>
      <c r="B56" s="37"/>
      <c r="C56" s="38"/>
      <c r="D56" s="39"/>
      <c r="E56" s="39"/>
      <c r="F56" s="39"/>
      <c r="G56" s="18"/>
      <c r="H56" s="38"/>
      <c r="I56" s="40"/>
      <c r="J56" s="41"/>
      <c r="K56" s="18"/>
      <c r="L56" s="38"/>
      <c r="M56" s="42"/>
    </row>
    <row r="57" spans="1:14" x14ac:dyDescent="0.25">
      <c r="A57" s="43"/>
      <c r="B57" s="44" t="s">
        <v>36</v>
      </c>
      <c r="C57" s="45"/>
      <c r="D57" s="46"/>
      <c r="E57" s="46"/>
      <c r="F57" s="46"/>
      <c r="G57" s="46"/>
      <c r="H57" s="46"/>
      <c r="I57" s="46"/>
      <c r="J57" s="46"/>
      <c r="K57" s="46"/>
      <c r="L57" s="47"/>
      <c r="M57" s="48"/>
      <c r="N57" s="48"/>
    </row>
    <row r="58" spans="1:14" x14ac:dyDescent="0.25">
      <c r="A58" s="16">
        <v>1</v>
      </c>
      <c r="B58" s="26" t="s">
        <v>37</v>
      </c>
      <c r="C58" s="6">
        <v>8137</v>
      </c>
      <c r="D58" s="18">
        <v>5206628.05</v>
      </c>
      <c r="E58" s="18">
        <f>D58/1000</f>
        <v>5206.6280500000003</v>
      </c>
      <c r="F58" s="18">
        <v>41901489</v>
      </c>
      <c r="G58" s="18">
        <f>F58/1000</f>
        <v>41901.489000000001</v>
      </c>
      <c r="H58" s="18">
        <v>73870510</v>
      </c>
      <c r="I58" s="18">
        <f>H58/1000</f>
        <v>73870.509999999995</v>
      </c>
      <c r="J58" s="18">
        <v>89385754</v>
      </c>
      <c r="K58" s="18">
        <f>J58/1000</f>
        <v>89385.754000000001</v>
      </c>
      <c r="L58" s="6">
        <v>130.56</v>
      </c>
    </row>
    <row r="59" spans="1:14" x14ac:dyDescent="0.25">
      <c r="A59" s="16">
        <v>2</v>
      </c>
      <c r="B59" s="26" t="s">
        <v>38</v>
      </c>
      <c r="C59" s="6">
        <v>1669</v>
      </c>
      <c r="D59" s="18">
        <v>726000000</v>
      </c>
      <c r="E59" s="18">
        <f t="shared" ref="E59:E68" si="8">D59/1000</f>
        <v>726000</v>
      </c>
      <c r="F59" s="18">
        <v>42249182.890000001</v>
      </c>
      <c r="G59" s="18">
        <f t="shared" ref="G59:G68" si="9">F59/1000</f>
        <v>42249.182890000004</v>
      </c>
      <c r="H59" s="18">
        <v>132786865</v>
      </c>
      <c r="I59" s="18">
        <f t="shared" ref="I59:I68" si="10">H59/1000</f>
        <v>132786.86499999999</v>
      </c>
      <c r="J59" s="18">
        <v>96862846.590000004</v>
      </c>
      <c r="K59" s="18">
        <f t="shared" ref="K59:K68" si="11">J59/1000</f>
        <v>96862.846590000001</v>
      </c>
      <c r="L59" s="6">
        <v>132.97</v>
      </c>
    </row>
    <row r="60" spans="1:14" x14ac:dyDescent="0.25">
      <c r="A60" s="16">
        <v>3</v>
      </c>
      <c r="B60" s="49" t="s">
        <v>39</v>
      </c>
      <c r="C60" s="6">
        <v>1580</v>
      </c>
      <c r="D60" s="18">
        <v>4934821.92</v>
      </c>
      <c r="E60" s="18">
        <f t="shared" si="8"/>
        <v>4934.8219200000003</v>
      </c>
      <c r="F60" s="18">
        <v>51390184</v>
      </c>
      <c r="G60" s="18">
        <f t="shared" si="9"/>
        <v>51390.184000000001</v>
      </c>
      <c r="H60" s="18">
        <v>70310490</v>
      </c>
      <c r="I60" s="18">
        <f t="shared" si="10"/>
        <v>70310.490000000005</v>
      </c>
      <c r="J60" s="18">
        <v>135917576</v>
      </c>
      <c r="K60" s="18">
        <f t="shared" si="11"/>
        <v>135917.576</v>
      </c>
      <c r="L60" s="6">
        <v>143.9</v>
      </c>
    </row>
    <row r="61" spans="1:14" x14ac:dyDescent="0.25">
      <c r="A61" s="16">
        <v>4</v>
      </c>
      <c r="B61" s="26" t="s">
        <v>40</v>
      </c>
      <c r="C61" s="6">
        <v>5426</v>
      </c>
      <c r="D61" s="18">
        <v>882172400</v>
      </c>
      <c r="E61" s="18">
        <f t="shared" si="8"/>
        <v>882172.4</v>
      </c>
      <c r="F61" s="18">
        <v>58943330</v>
      </c>
      <c r="G61" s="18">
        <f t="shared" si="9"/>
        <v>58943.33</v>
      </c>
      <c r="H61" s="18">
        <v>146831880</v>
      </c>
      <c r="I61" s="18">
        <f t="shared" si="10"/>
        <v>146831.88</v>
      </c>
      <c r="J61" s="18">
        <v>192674760</v>
      </c>
      <c r="K61" s="18">
        <f t="shared" si="11"/>
        <v>192674.76</v>
      </c>
      <c r="L61" s="6">
        <v>133.03</v>
      </c>
    </row>
    <row r="62" spans="1:14" x14ac:dyDescent="0.25">
      <c r="A62" s="16">
        <v>5</v>
      </c>
      <c r="B62" s="26" t="s">
        <v>41</v>
      </c>
      <c r="C62" s="6">
        <v>1759</v>
      </c>
      <c r="D62" s="18">
        <v>341859100</v>
      </c>
      <c r="E62" s="18">
        <f t="shared" si="8"/>
        <v>341859.1</v>
      </c>
      <c r="F62" s="18">
        <v>69335648.560000002</v>
      </c>
      <c r="G62" s="18">
        <f t="shared" si="9"/>
        <v>69335.648560000001</v>
      </c>
      <c r="H62" s="18">
        <v>43873322.979999997</v>
      </c>
      <c r="I62" s="18">
        <f t="shared" si="10"/>
        <v>43873.322979999997</v>
      </c>
      <c r="J62" s="18">
        <v>94525424.099999994</v>
      </c>
      <c r="K62" s="18">
        <f t="shared" si="11"/>
        <v>94525.424099999989</v>
      </c>
      <c r="L62" s="6">
        <v>134.38</v>
      </c>
    </row>
    <row r="63" spans="1:14" x14ac:dyDescent="0.25">
      <c r="A63" s="16">
        <v>6</v>
      </c>
      <c r="B63" s="26" t="s">
        <v>42</v>
      </c>
      <c r="C63" s="6">
        <v>1778</v>
      </c>
      <c r="D63" s="18">
        <v>2889562.5</v>
      </c>
      <c r="E63" s="18">
        <f t="shared" si="8"/>
        <v>2889.5625</v>
      </c>
      <c r="F63" s="18">
        <v>48822100.140000001</v>
      </c>
      <c r="G63" s="18">
        <f t="shared" si="9"/>
        <v>48822.100140000002</v>
      </c>
      <c r="H63" s="18">
        <v>43023121.280000001</v>
      </c>
      <c r="I63" s="18">
        <f t="shared" si="10"/>
        <v>43023.121279999999</v>
      </c>
      <c r="J63" s="18">
        <v>38334367.390000001</v>
      </c>
      <c r="K63" s="18">
        <f t="shared" si="11"/>
        <v>38334.367389999999</v>
      </c>
      <c r="L63" s="6">
        <v>128.12</v>
      </c>
    </row>
    <row r="64" spans="1:14" x14ac:dyDescent="0.25">
      <c r="A64" s="16">
        <v>7</v>
      </c>
      <c r="B64" s="26" t="s">
        <v>43</v>
      </c>
      <c r="C64" s="6">
        <v>11608</v>
      </c>
      <c r="D64" s="18">
        <v>867993841</v>
      </c>
      <c r="E64" s="18">
        <f t="shared" si="8"/>
        <v>867993.84100000001</v>
      </c>
      <c r="F64" s="18">
        <v>17212000</v>
      </c>
      <c r="G64" s="18">
        <f t="shared" si="9"/>
        <v>17212</v>
      </c>
      <c r="H64" s="18">
        <v>274776000</v>
      </c>
      <c r="I64" s="18">
        <f t="shared" si="10"/>
        <v>274776</v>
      </c>
      <c r="J64" s="18">
        <v>132883000</v>
      </c>
      <c r="K64" s="18">
        <f t="shared" si="11"/>
        <v>132883</v>
      </c>
      <c r="L64" s="6">
        <v>100</v>
      </c>
    </row>
    <row r="65" spans="1:13" x14ac:dyDescent="0.25">
      <c r="A65" s="16">
        <v>8</v>
      </c>
      <c r="B65" s="49" t="s">
        <v>44</v>
      </c>
      <c r="C65" s="6">
        <v>6086</v>
      </c>
      <c r="D65" s="18">
        <v>25000000</v>
      </c>
      <c r="E65" s="18">
        <f t="shared" si="8"/>
        <v>25000</v>
      </c>
      <c r="F65" s="18">
        <v>7924686.7199999997</v>
      </c>
      <c r="G65" s="18">
        <f t="shared" si="9"/>
        <v>7924.6867199999997</v>
      </c>
      <c r="H65" s="18">
        <v>4822764.2699999996</v>
      </c>
      <c r="I65" s="18">
        <f t="shared" si="10"/>
        <v>4822.7642699999997</v>
      </c>
      <c r="J65" s="18">
        <v>5874471.0199999996</v>
      </c>
      <c r="K65" s="18">
        <f t="shared" si="11"/>
        <v>5874.47102</v>
      </c>
      <c r="L65" s="6">
        <v>145.5</v>
      </c>
    </row>
    <row r="66" spans="1:13" x14ac:dyDescent="0.25">
      <c r="A66" s="16">
        <v>9</v>
      </c>
      <c r="B66" s="26" t="s">
        <v>45</v>
      </c>
      <c r="C66" s="6">
        <v>47805</v>
      </c>
      <c r="D66" s="18">
        <v>655788492</v>
      </c>
      <c r="E66" s="18">
        <f t="shared" si="8"/>
        <v>655788.49199999997</v>
      </c>
      <c r="F66" s="18">
        <v>156339164.96000001</v>
      </c>
      <c r="G66" s="18">
        <f t="shared" si="9"/>
        <v>156339.16495999999</v>
      </c>
      <c r="H66" s="18">
        <v>88021298</v>
      </c>
      <c r="I66" s="18">
        <f t="shared" si="10"/>
        <v>88021.297999999995</v>
      </c>
      <c r="J66" s="18">
        <v>88484940</v>
      </c>
      <c r="K66" s="18">
        <f t="shared" si="11"/>
        <v>88484.94</v>
      </c>
      <c r="L66" s="6">
        <v>100</v>
      </c>
    </row>
    <row r="67" spans="1:13" x14ac:dyDescent="0.25">
      <c r="A67" s="16">
        <v>10</v>
      </c>
      <c r="B67" s="49" t="s">
        <v>46</v>
      </c>
      <c r="C67" s="6">
        <v>2721</v>
      </c>
      <c r="D67" s="18">
        <v>345448870</v>
      </c>
      <c r="E67" s="18">
        <f t="shared" si="8"/>
        <v>345448.87</v>
      </c>
      <c r="F67" s="18">
        <v>30189000</v>
      </c>
      <c r="G67" s="18">
        <f t="shared" si="9"/>
        <v>30189</v>
      </c>
      <c r="H67" s="18">
        <v>30268000</v>
      </c>
      <c r="I67" s="18">
        <f t="shared" si="10"/>
        <v>30268</v>
      </c>
      <c r="J67" s="18">
        <v>132591000</v>
      </c>
      <c r="K67" s="18">
        <f t="shared" si="11"/>
        <v>132591</v>
      </c>
      <c r="L67" s="6">
        <v>189</v>
      </c>
    </row>
    <row r="68" spans="1:13" x14ac:dyDescent="0.25">
      <c r="A68" s="16">
        <v>11</v>
      </c>
      <c r="B68" s="26" t="s">
        <v>47</v>
      </c>
      <c r="C68" s="6">
        <v>1012</v>
      </c>
      <c r="D68" s="18">
        <v>400680000</v>
      </c>
      <c r="E68" s="18">
        <f t="shared" si="8"/>
        <v>400680</v>
      </c>
      <c r="F68" s="18">
        <v>41845943.880000003</v>
      </c>
      <c r="G68" s="18">
        <f t="shared" si="9"/>
        <v>41845.943880000006</v>
      </c>
      <c r="H68" s="18">
        <v>85501899.170000002</v>
      </c>
      <c r="I68" s="18">
        <f t="shared" si="10"/>
        <v>85501.899170000004</v>
      </c>
      <c r="J68" s="18">
        <v>132687874</v>
      </c>
      <c r="K68" s="18">
        <f t="shared" si="11"/>
        <v>132687.87400000001</v>
      </c>
      <c r="L68" s="6">
        <v>120.2</v>
      </c>
    </row>
    <row r="69" spans="1:13" x14ac:dyDescent="0.25">
      <c r="A69" s="50"/>
      <c r="B69" s="51"/>
      <c r="C69" s="52"/>
      <c r="D69" s="53"/>
      <c r="E69" s="53"/>
      <c r="F69" s="53"/>
      <c r="G69" s="53"/>
      <c r="H69" s="53"/>
      <c r="I69" s="53"/>
      <c r="J69" s="53"/>
      <c r="K69" s="53"/>
      <c r="L69" s="52"/>
    </row>
    <row r="70" spans="1:13" x14ac:dyDescent="0.25">
      <c r="A70" s="16"/>
      <c r="B70" s="79" t="s">
        <v>135</v>
      </c>
      <c r="C70" s="54"/>
      <c r="D70" s="18"/>
      <c r="E70" s="18"/>
      <c r="F70" s="18"/>
      <c r="G70" s="18"/>
      <c r="H70" s="18"/>
      <c r="I70" s="18"/>
      <c r="J70" s="18"/>
      <c r="K70" s="18"/>
      <c r="L70" s="6"/>
    </row>
    <row r="71" spans="1:13" x14ac:dyDescent="0.25">
      <c r="A71" s="16">
        <v>1</v>
      </c>
      <c r="B71" s="49" t="s">
        <v>48</v>
      </c>
      <c r="C71" s="6">
        <v>5356</v>
      </c>
      <c r="D71" s="18">
        <v>1000000000</v>
      </c>
      <c r="E71" s="18">
        <f>D71/1000</f>
        <v>1000000</v>
      </c>
      <c r="F71" s="18">
        <v>287839398.12</v>
      </c>
      <c r="G71" s="18">
        <f>F71/1000</f>
        <v>287839.39812000003</v>
      </c>
      <c r="H71" s="18">
        <v>471505184.85000002</v>
      </c>
      <c r="I71" s="18">
        <f>H71/1000</f>
        <v>471505.18485000002</v>
      </c>
      <c r="J71" s="18">
        <v>575807980.09000003</v>
      </c>
      <c r="K71" s="18">
        <f>J71/1000</f>
        <v>575807.98009000008</v>
      </c>
      <c r="L71" s="6">
        <v>252.09</v>
      </c>
    </row>
    <row r="72" spans="1:13" x14ac:dyDescent="0.25">
      <c r="A72" s="16">
        <v>2</v>
      </c>
      <c r="B72" s="26" t="s">
        <v>118</v>
      </c>
      <c r="C72" s="6">
        <v>10978</v>
      </c>
      <c r="D72" s="18">
        <v>112700000</v>
      </c>
      <c r="E72" s="18">
        <f t="shared" ref="E72:E96" si="12">D72/1000</f>
        <v>112700</v>
      </c>
      <c r="F72" s="18">
        <v>10739000</v>
      </c>
      <c r="G72" s="18">
        <f t="shared" ref="G72:G96" si="13">F72/1000</f>
        <v>10739</v>
      </c>
      <c r="H72" s="18">
        <v>29864000</v>
      </c>
      <c r="I72" s="18">
        <f t="shared" ref="I72:I96" si="14">H72/1000</f>
        <v>29864</v>
      </c>
      <c r="J72" s="18">
        <v>45403000</v>
      </c>
      <c r="K72" s="18">
        <f t="shared" ref="K72:K96" si="15">J72/1000</f>
        <v>45403</v>
      </c>
      <c r="L72" s="6">
        <v>193.95</v>
      </c>
    </row>
    <row r="73" spans="1:13" x14ac:dyDescent="0.25">
      <c r="A73" s="55">
        <v>3</v>
      </c>
      <c r="B73" s="28" t="s">
        <v>49</v>
      </c>
      <c r="C73" s="29">
        <v>5718</v>
      </c>
      <c r="D73" s="30">
        <v>456262500</v>
      </c>
      <c r="E73" s="18">
        <f t="shared" si="12"/>
        <v>456262.5</v>
      </c>
      <c r="F73" s="30">
        <v>36116530</v>
      </c>
      <c r="G73" s="18">
        <f t="shared" si="13"/>
        <v>36116.53</v>
      </c>
      <c r="H73" s="30">
        <v>54514290</v>
      </c>
      <c r="I73" s="18">
        <f t="shared" si="14"/>
        <v>54514.29</v>
      </c>
      <c r="J73" s="30">
        <v>80178860</v>
      </c>
      <c r="K73" s="18">
        <f t="shared" si="15"/>
        <v>80178.86</v>
      </c>
      <c r="L73" s="29">
        <v>130.16999999999999</v>
      </c>
      <c r="M73" s="31"/>
    </row>
    <row r="74" spans="1:13" x14ac:dyDescent="0.25">
      <c r="A74" s="16">
        <v>4</v>
      </c>
      <c r="B74" s="32" t="s">
        <v>134</v>
      </c>
      <c r="C74" s="6">
        <v>6657</v>
      </c>
      <c r="D74" s="18">
        <v>28800000</v>
      </c>
      <c r="E74" s="18">
        <f t="shared" si="12"/>
        <v>28800</v>
      </c>
      <c r="F74" s="18">
        <v>7995464</v>
      </c>
      <c r="G74" s="18">
        <f t="shared" si="13"/>
        <v>7995.4639999999999</v>
      </c>
      <c r="H74" s="18">
        <v>12495736</v>
      </c>
      <c r="I74" s="18">
        <f t="shared" si="14"/>
        <v>12495.736000000001</v>
      </c>
      <c r="J74" s="18">
        <v>15286187</v>
      </c>
      <c r="K74" s="18">
        <f t="shared" si="15"/>
        <v>15286.187</v>
      </c>
      <c r="L74" s="6">
        <v>179.03</v>
      </c>
    </row>
    <row r="75" spans="1:13" x14ac:dyDescent="0.25">
      <c r="A75" s="16">
        <v>5</v>
      </c>
      <c r="B75" s="32" t="s">
        <v>119</v>
      </c>
      <c r="C75" s="6">
        <v>5255</v>
      </c>
      <c r="D75" s="18">
        <v>40000000</v>
      </c>
      <c r="E75" s="18">
        <f t="shared" si="12"/>
        <v>40000</v>
      </c>
      <c r="F75" s="18">
        <v>5714160</v>
      </c>
      <c r="G75" s="18">
        <f t="shared" si="13"/>
        <v>5714.16</v>
      </c>
      <c r="H75" s="18">
        <v>13020998</v>
      </c>
      <c r="I75" s="18">
        <f t="shared" si="14"/>
        <v>13020.998</v>
      </c>
      <c r="J75" s="18">
        <v>15570345</v>
      </c>
      <c r="K75" s="18">
        <f t="shared" si="15"/>
        <v>15570.344999999999</v>
      </c>
      <c r="L75" s="6">
        <v>171.08</v>
      </c>
    </row>
    <row r="76" spans="1:13" x14ac:dyDescent="0.25">
      <c r="A76" s="16">
        <v>6</v>
      </c>
      <c r="B76" s="56" t="s">
        <v>120</v>
      </c>
      <c r="C76" s="6">
        <v>17945</v>
      </c>
      <c r="D76" s="18">
        <v>220000000</v>
      </c>
      <c r="E76" s="18">
        <f t="shared" si="12"/>
        <v>220000</v>
      </c>
      <c r="F76" s="18">
        <v>16496149</v>
      </c>
      <c r="G76" s="18">
        <f t="shared" si="13"/>
        <v>16496.149000000001</v>
      </c>
      <c r="H76" s="18">
        <v>62447007</v>
      </c>
      <c r="I76" s="18">
        <f t="shared" si="14"/>
        <v>62447.006999999998</v>
      </c>
      <c r="J76" s="18">
        <v>107070408</v>
      </c>
      <c r="K76" s="18">
        <f t="shared" si="15"/>
        <v>107070.408</v>
      </c>
      <c r="L76" s="6">
        <v>160.74</v>
      </c>
    </row>
    <row r="77" spans="1:13" x14ac:dyDescent="0.25">
      <c r="A77" s="16">
        <v>7</v>
      </c>
      <c r="B77" s="32" t="s">
        <v>121</v>
      </c>
      <c r="C77" s="6">
        <v>37726</v>
      </c>
      <c r="D77" s="18">
        <v>286000000</v>
      </c>
      <c r="E77" s="18">
        <f t="shared" si="12"/>
        <v>286000</v>
      </c>
      <c r="F77" s="18">
        <v>39698641.090000004</v>
      </c>
      <c r="G77" s="18">
        <f t="shared" si="13"/>
        <v>39698.641090000005</v>
      </c>
      <c r="H77" s="18">
        <v>75458779.540000007</v>
      </c>
      <c r="I77" s="18">
        <f t="shared" si="14"/>
        <v>75458.779540000003</v>
      </c>
      <c r="J77" s="18">
        <v>75458779.540000007</v>
      </c>
      <c r="K77" s="18">
        <f t="shared" si="15"/>
        <v>75458.779540000003</v>
      </c>
      <c r="L77" s="6">
        <v>148.97999999999999</v>
      </c>
    </row>
    <row r="78" spans="1:13" x14ac:dyDescent="0.25">
      <c r="A78" s="16">
        <v>8</v>
      </c>
      <c r="B78" s="32" t="s">
        <v>122</v>
      </c>
      <c r="C78" s="6">
        <v>4394</v>
      </c>
      <c r="D78" s="18">
        <v>45000000</v>
      </c>
      <c r="E78" s="18">
        <f t="shared" si="12"/>
        <v>45000</v>
      </c>
      <c r="F78" s="18">
        <v>4410156</v>
      </c>
      <c r="G78" s="18">
        <f t="shared" si="13"/>
        <v>4410.1559999999999</v>
      </c>
      <c r="H78" s="18">
        <v>988223</v>
      </c>
      <c r="I78" s="18">
        <f t="shared" si="14"/>
        <v>988.22299999999996</v>
      </c>
      <c r="J78" s="18">
        <v>251520</v>
      </c>
      <c r="K78" s="18">
        <f t="shared" si="15"/>
        <v>251.52</v>
      </c>
      <c r="L78" s="6">
        <v>115.32</v>
      </c>
    </row>
    <row r="79" spans="1:13" x14ac:dyDescent="0.25">
      <c r="A79" s="16">
        <v>9</v>
      </c>
      <c r="B79" s="26" t="s">
        <v>50</v>
      </c>
      <c r="C79" s="6">
        <v>4587</v>
      </c>
      <c r="D79" s="18">
        <v>57372100</v>
      </c>
      <c r="E79" s="18">
        <f t="shared" si="12"/>
        <v>57372.1</v>
      </c>
      <c r="F79" s="18">
        <v>7893274</v>
      </c>
      <c r="G79" s="18">
        <f t="shared" si="13"/>
        <v>7893.2740000000003</v>
      </c>
      <c r="H79" s="18">
        <v>9002508.9499999993</v>
      </c>
      <c r="I79" s="18">
        <f t="shared" si="14"/>
        <v>9002.5089499999995</v>
      </c>
      <c r="J79" s="18">
        <v>8643281.2200000007</v>
      </c>
      <c r="K79" s="18">
        <f t="shared" si="15"/>
        <v>8643.2812200000008</v>
      </c>
      <c r="L79" s="6">
        <v>148.33000000000001</v>
      </c>
    </row>
    <row r="80" spans="1:13" x14ac:dyDescent="0.25">
      <c r="A80" s="16">
        <v>10</v>
      </c>
      <c r="B80" s="26" t="s">
        <v>51</v>
      </c>
      <c r="C80" s="6">
        <v>5138</v>
      </c>
      <c r="D80" s="18">
        <v>76646315</v>
      </c>
      <c r="E80" s="18">
        <f t="shared" si="12"/>
        <v>76646.315000000002</v>
      </c>
      <c r="F80" s="18">
        <v>17412372</v>
      </c>
      <c r="G80" s="18">
        <f t="shared" si="13"/>
        <v>17412.371999999999</v>
      </c>
      <c r="H80" s="18">
        <v>27357695</v>
      </c>
      <c r="I80" s="18">
        <f t="shared" si="14"/>
        <v>27357.695</v>
      </c>
      <c r="J80" s="18">
        <v>33642057</v>
      </c>
      <c r="K80" s="18">
        <f t="shared" si="15"/>
        <v>33642.057000000001</v>
      </c>
      <c r="L80" s="6">
        <v>100</v>
      </c>
    </row>
    <row r="81" spans="1:12" x14ac:dyDescent="0.25">
      <c r="A81" s="16">
        <v>11</v>
      </c>
      <c r="B81" s="32" t="s">
        <v>123</v>
      </c>
      <c r="C81" s="6">
        <v>20040</v>
      </c>
      <c r="D81" s="18">
        <v>100000000</v>
      </c>
      <c r="E81" s="18">
        <f t="shared" si="12"/>
        <v>100000</v>
      </c>
      <c r="F81" s="18">
        <v>10382290</v>
      </c>
      <c r="G81" s="18">
        <f t="shared" si="13"/>
        <v>10382.290000000001</v>
      </c>
      <c r="H81" s="18">
        <v>40854510</v>
      </c>
      <c r="I81" s="18">
        <f t="shared" si="14"/>
        <v>40854.51</v>
      </c>
      <c r="J81" s="18">
        <v>72111370</v>
      </c>
      <c r="K81" s="18">
        <f t="shared" si="15"/>
        <v>72111.37</v>
      </c>
      <c r="L81" s="6">
        <v>220.24</v>
      </c>
    </row>
    <row r="82" spans="1:12" x14ac:dyDescent="0.25">
      <c r="A82" s="16">
        <v>12</v>
      </c>
      <c r="B82" s="26" t="s">
        <v>52</v>
      </c>
      <c r="C82" s="6">
        <v>1887</v>
      </c>
      <c r="D82" s="18">
        <v>20000000</v>
      </c>
      <c r="E82" s="18">
        <f t="shared" si="12"/>
        <v>20000</v>
      </c>
      <c r="F82" s="18">
        <v>1365487.96</v>
      </c>
      <c r="G82" s="18">
        <f t="shared" si="13"/>
        <v>1365.4879599999999</v>
      </c>
      <c r="H82" s="18">
        <v>9611563.0999999996</v>
      </c>
      <c r="I82" s="18">
        <f t="shared" si="14"/>
        <v>9611.5630999999994</v>
      </c>
      <c r="J82" s="18">
        <v>6731085.1299999999</v>
      </c>
      <c r="K82" s="18">
        <f t="shared" si="15"/>
        <v>6731.0851299999995</v>
      </c>
      <c r="L82" s="6">
        <v>195.3</v>
      </c>
    </row>
    <row r="83" spans="1:12" x14ac:dyDescent="0.25">
      <c r="A83" s="16">
        <v>13</v>
      </c>
      <c r="B83" s="49" t="s">
        <v>124</v>
      </c>
      <c r="C83" s="6">
        <v>127793</v>
      </c>
      <c r="D83" s="18">
        <v>655000000</v>
      </c>
      <c r="E83" s="18">
        <f t="shared" si="12"/>
        <v>655000</v>
      </c>
      <c r="F83" s="18">
        <v>181538573.84999999</v>
      </c>
      <c r="G83" s="18">
        <f t="shared" si="13"/>
        <v>181538.57384999999</v>
      </c>
      <c r="H83" s="18">
        <v>245805315.55000001</v>
      </c>
      <c r="I83" s="18">
        <f t="shared" si="14"/>
        <v>245805.31555</v>
      </c>
      <c r="J83" s="18">
        <v>128301859.13</v>
      </c>
      <c r="K83" s="18">
        <f t="shared" si="15"/>
        <v>128301.85913</v>
      </c>
      <c r="L83" s="6">
        <v>125.16</v>
      </c>
    </row>
    <row r="84" spans="1:12" x14ac:dyDescent="0.25">
      <c r="A84" s="16">
        <v>14</v>
      </c>
      <c r="B84" s="26" t="s">
        <v>53</v>
      </c>
      <c r="C84" s="6">
        <v>2954</v>
      </c>
      <c r="D84" s="18">
        <v>306000000</v>
      </c>
      <c r="E84" s="18">
        <f t="shared" si="12"/>
        <v>306000</v>
      </c>
      <c r="F84" s="18">
        <v>77710825.640000001</v>
      </c>
      <c r="G84" s="18">
        <f t="shared" si="13"/>
        <v>77710.825639999995</v>
      </c>
      <c r="H84" s="18">
        <v>81009565.650000006</v>
      </c>
      <c r="I84" s="18">
        <f t="shared" si="14"/>
        <v>81009.565650000004</v>
      </c>
      <c r="J84" s="18">
        <v>94301912.579999998</v>
      </c>
      <c r="K84" s="18">
        <f t="shared" si="15"/>
        <v>94301.912580000004</v>
      </c>
      <c r="L84" s="6">
        <v>147.69</v>
      </c>
    </row>
    <row r="85" spans="1:12" x14ac:dyDescent="0.25">
      <c r="A85" s="16">
        <v>15</v>
      </c>
      <c r="B85" s="33" t="s">
        <v>125</v>
      </c>
      <c r="C85" s="29">
        <v>1501</v>
      </c>
      <c r="D85" s="30">
        <v>96050000</v>
      </c>
      <c r="E85" s="18">
        <f t="shared" si="12"/>
        <v>96050</v>
      </c>
      <c r="F85" s="30">
        <v>10395176</v>
      </c>
      <c r="G85" s="18">
        <f t="shared" si="13"/>
        <v>10395.175999999999</v>
      </c>
      <c r="H85" s="30">
        <v>18673842</v>
      </c>
      <c r="I85" s="18">
        <f t="shared" si="14"/>
        <v>18673.842000000001</v>
      </c>
      <c r="J85" s="30">
        <v>11065093</v>
      </c>
      <c r="K85" s="18">
        <f t="shared" si="15"/>
        <v>11065.093000000001</v>
      </c>
      <c r="L85" s="29">
        <v>111.39</v>
      </c>
    </row>
    <row r="86" spans="1:12" x14ac:dyDescent="0.25">
      <c r="A86" s="16">
        <v>16</v>
      </c>
      <c r="B86" s="26" t="s">
        <v>54</v>
      </c>
      <c r="C86" s="6">
        <v>17134</v>
      </c>
      <c r="D86" s="18">
        <v>692120000</v>
      </c>
      <c r="E86" s="18">
        <f t="shared" si="12"/>
        <v>692120</v>
      </c>
      <c r="F86" s="18">
        <v>199771451.44</v>
      </c>
      <c r="G86" s="18">
        <f t="shared" si="13"/>
        <v>199771.45144</v>
      </c>
      <c r="H86" s="18">
        <v>172960447.69999999</v>
      </c>
      <c r="I86" s="18">
        <f t="shared" si="14"/>
        <v>172960.44769999999</v>
      </c>
      <c r="J86" s="18">
        <v>211226364.91</v>
      </c>
      <c r="K86" s="18">
        <f t="shared" si="15"/>
        <v>211226.36491</v>
      </c>
      <c r="L86" s="6">
        <v>274.7</v>
      </c>
    </row>
    <row r="87" spans="1:12" x14ac:dyDescent="0.25">
      <c r="A87" s="16">
        <v>17</v>
      </c>
      <c r="B87" s="26" t="s">
        <v>55</v>
      </c>
      <c r="C87" s="6">
        <v>1830</v>
      </c>
      <c r="D87" s="18">
        <v>144105000</v>
      </c>
      <c r="E87" s="18">
        <f t="shared" si="12"/>
        <v>144105</v>
      </c>
      <c r="F87" s="18">
        <v>27619502.68</v>
      </c>
      <c r="G87" s="18">
        <f t="shared" si="13"/>
        <v>27619.502680000001</v>
      </c>
      <c r="H87" s="18">
        <v>37170706.210000001</v>
      </c>
      <c r="I87" s="18">
        <f t="shared" si="14"/>
        <v>37170.706210000004</v>
      </c>
      <c r="J87" s="18">
        <v>48746876.280000001</v>
      </c>
      <c r="K87" s="18">
        <f t="shared" si="15"/>
        <v>48746.876280000004</v>
      </c>
      <c r="L87" s="6">
        <v>203.42</v>
      </c>
    </row>
    <row r="88" spans="1:12" x14ac:dyDescent="0.25">
      <c r="A88" s="16">
        <v>18</v>
      </c>
      <c r="B88" s="26" t="s">
        <v>56</v>
      </c>
      <c r="C88" s="6">
        <v>6359</v>
      </c>
      <c r="D88" s="18">
        <v>502756000</v>
      </c>
      <c r="E88" s="18">
        <f t="shared" si="12"/>
        <v>502756</v>
      </c>
      <c r="F88" s="18">
        <v>235448132</v>
      </c>
      <c r="G88" s="18">
        <f t="shared" si="13"/>
        <v>235448.13200000001</v>
      </c>
      <c r="H88" s="18">
        <v>323240193</v>
      </c>
      <c r="I88" s="18">
        <f t="shared" si="14"/>
        <v>323240.19300000003</v>
      </c>
      <c r="J88" s="18">
        <v>264111934</v>
      </c>
      <c r="K88" s="18">
        <f t="shared" si="15"/>
        <v>264111.93400000001</v>
      </c>
      <c r="L88" s="6">
        <v>100</v>
      </c>
    </row>
    <row r="89" spans="1:12" x14ac:dyDescent="0.25">
      <c r="A89" s="16">
        <v>19</v>
      </c>
      <c r="B89" s="32" t="s">
        <v>126</v>
      </c>
      <c r="C89" s="6">
        <v>25012</v>
      </c>
      <c r="D89" s="18">
        <v>177100000</v>
      </c>
      <c r="E89" s="18">
        <f t="shared" si="12"/>
        <v>177100</v>
      </c>
      <c r="F89" s="18">
        <v>8756050.6899999995</v>
      </c>
      <c r="G89" s="18">
        <f t="shared" si="13"/>
        <v>8756.05069</v>
      </c>
      <c r="H89" s="18">
        <v>24230818.09</v>
      </c>
      <c r="I89" s="18">
        <f t="shared" si="14"/>
        <v>24230.818090000001</v>
      </c>
      <c r="J89" s="18">
        <v>31531111.25</v>
      </c>
      <c r="K89" s="18">
        <f t="shared" si="15"/>
        <v>31531.111250000002</v>
      </c>
      <c r="L89" s="6">
        <v>109.51</v>
      </c>
    </row>
    <row r="90" spans="1:12" x14ac:dyDescent="0.25">
      <c r="A90" s="16">
        <v>20</v>
      </c>
      <c r="B90" s="32" t="s">
        <v>57</v>
      </c>
      <c r="C90" s="6">
        <v>10475</v>
      </c>
      <c r="D90" s="18">
        <v>64800000</v>
      </c>
      <c r="E90" s="18">
        <f t="shared" si="12"/>
        <v>64800</v>
      </c>
      <c r="F90" s="18">
        <v>12193912.93</v>
      </c>
      <c r="G90" s="18">
        <f t="shared" si="13"/>
        <v>12193.91293</v>
      </c>
      <c r="H90" s="18">
        <v>17771237.640000001</v>
      </c>
      <c r="I90" s="18">
        <f t="shared" si="14"/>
        <v>17771.237639999999</v>
      </c>
      <c r="J90" s="18">
        <v>21128897.350000001</v>
      </c>
      <c r="K90" s="18">
        <f t="shared" si="15"/>
        <v>21128.897350000003</v>
      </c>
      <c r="L90" s="6">
        <v>160.34</v>
      </c>
    </row>
    <row r="91" spans="1:12" x14ac:dyDescent="0.25">
      <c r="A91" s="16">
        <v>21</v>
      </c>
      <c r="B91" s="32" t="s">
        <v>127</v>
      </c>
      <c r="C91" s="6">
        <v>35547</v>
      </c>
      <c r="D91" s="18">
        <v>129950000</v>
      </c>
      <c r="E91" s="18">
        <f t="shared" si="12"/>
        <v>129950</v>
      </c>
      <c r="F91" s="18">
        <v>8482252.1699999999</v>
      </c>
      <c r="G91" s="18">
        <f t="shared" si="13"/>
        <v>8482.2521699999998</v>
      </c>
      <c r="H91" s="18">
        <v>15064488.48</v>
      </c>
      <c r="I91" s="18">
        <f t="shared" si="14"/>
        <v>15064.48848</v>
      </c>
      <c r="J91" s="18">
        <v>17101410</v>
      </c>
      <c r="K91" s="18">
        <f t="shared" si="15"/>
        <v>17101.41</v>
      </c>
      <c r="L91" s="6">
        <v>100</v>
      </c>
    </row>
    <row r="92" spans="1:12" x14ac:dyDescent="0.25">
      <c r="A92" s="16">
        <v>22</v>
      </c>
      <c r="B92" s="32" t="s">
        <v>128</v>
      </c>
      <c r="C92" s="6">
        <v>8865</v>
      </c>
      <c r="D92" s="18">
        <v>31600000</v>
      </c>
      <c r="E92" s="18">
        <f t="shared" si="12"/>
        <v>31600</v>
      </c>
      <c r="F92" s="18">
        <v>2289044</v>
      </c>
      <c r="G92" s="18">
        <f t="shared" si="13"/>
        <v>2289.0439999999999</v>
      </c>
      <c r="H92" s="18">
        <v>6251587</v>
      </c>
      <c r="I92" s="18">
        <f t="shared" si="14"/>
        <v>6251.5870000000004</v>
      </c>
      <c r="J92" s="18">
        <v>13831356</v>
      </c>
      <c r="K92" s="18">
        <f t="shared" si="15"/>
        <v>13831.356</v>
      </c>
      <c r="L92" s="6">
        <v>152</v>
      </c>
    </row>
    <row r="93" spans="1:12" x14ac:dyDescent="0.25">
      <c r="A93" s="16">
        <v>23</v>
      </c>
      <c r="B93" s="32" t="s">
        <v>129</v>
      </c>
      <c r="C93" s="6">
        <v>11067</v>
      </c>
      <c r="D93" s="18">
        <v>40000000</v>
      </c>
      <c r="E93" s="18">
        <f t="shared" si="12"/>
        <v>40000</v>
      </c>
      <c r="F93" s="18">
        <v>5621281.9000000004</v>
      </c>
      <c r="G93" s="18">
        <f t="shared" si="13"/>
        <v>5621.2819</v>
      </c>
      <c r="H93" s="18">
        <v>14969551</v>
      </c>
      <c r="I93" s="18">
        <f t="shared" si="14"/>
        <v>14969.550999999999</v>
      </c>
      <c r="J93" s="18">
        <v>23976720.25</v>
      </c>
      <c r="K93" s="18">
        <f t="shared" si="15"/>
        <v>23976.720249999998</v>
      </c>
      <c r="L93" s="6">
        <v>100</v>
      </c>
    </row>
    <row r="94" spans="1:12" x14ac:dyDescent="0.25">
      <c r="A94" s="16">
        <v>24</v>
      </c>
      <c r="B94" s="32" t="s">
        <v>130</v>
      </c>
      <c r="C94" s="6">
        <v>11087</v>
      </c>
      <c r="D94" s="36">
        <v>40000000</v>
      </c>
      <c r="E94" s="18">
        <f t="shared" si="12"/>
        <v>40000</v>
      </c>
      <c r="F94" s="36">
        <v>30053397.039999999</v>
      </c>
      <c r="G94" s="18">
        <f t="shared" si="13"/>
        <v>30053.39704</v>
      </c>
      <c r="H94" s="36">
        <v>43792633.299999997</v>
      </c>
      <c r="I94" s="18">
        <f t="shared" si="14"/>
        <v>43792.633299999994</v>
      </c>
      <c r="J94" s="36">
        <v>38719103.960000001</v>
      </c>
      <c r="K94" s="18">
        <f t="shared" si="15"/>
        <v>38719.10396</v>
      </c>
      <c r="L94" s="6">
        <v>425.02</v>
      </c>
    </row>
    <row r="95" spans="1:12" x14ac:dyDescent="0.25">
      <c r="A95" s="16">
        <v>25</v>
      </c>
      <c r="B95" s="26" t="s">
        <v>58</v>
      </c>
      <c r="C95" s="6">
        <v>10553</v>
      </c>
      <c r="D95" s="36">
        <v>628828000</v>
      </c>
      <c r="E95" s="18">
        <f t="shared" si="12"/>
        <v>628828</v>
      </c>
      <c r="F95" s="36">
        <v>154063648.46000001</v>
      </c>
      <c r="G95" s="18">
        <f t="shared" si="13"/>
        <v>154063.64846</v>
      </c>
      <c r="H95" s="36">
        <v>223256983.93000001</v>
      </c>
      <c r="I95" s="18">
        <f t="shared" si="14"/>
        <v>223256.98393000002</v>
      </c>
      <c r="J95" s="36">
        <v>330759291.75</v>
      </c>
      <c r="K95" s="18">
        <f t="shared" si="15"/>
        <v>330759.29174999997</v>
      </c>
      <c r="L95" s="6">
        <v>255.64</v>
      </c>
    </row>
    <row r="96" spans="1:12" x14ac:dyDescent="0.25">
      <c r="A96" s="16">
        <v>26</v>
      </c>
      <c r="B96" s="26" t="s">
        <v>59</v>
      </c>
      <c r="C96" s="6">
        <v>5629</v>
      </c>
      <c r="D96" s="36">
        <v>1000000000</v>
      </c>
      <c r="E96" s="18">
        <f t="shared" si="12"/>
        <v>1000000</v>
      </c>
      <c r="F96" s="36">
        <v>278865188</v>
      </c>
      <c r="G96" s="18">
        <f t="shared" si="13"/>
        <v>278865.18800000002</v>
      </c>
      <c r="H96" s="36">
        <v>403108185</v>
      </c>
      <c r="I96" s="18">
        <f t="shared" si="14"/>
        <v>403108.185</v>
      </c>
      <c r="J96" s="36">
        <v>571543980</v>
      </c>
      <c r="K96" s="18">
        <f t="shared" si="15"/>
        <v>571543.98</v>
      </c>
      <c r="L96" s="6">
        <v>147.81</v>
      </c>
    </row>
    <row r="97" spans="1:13" x14ac:dyDescent="0.25">
      <c r="B97" s="49"/>
      <c r="C97" s="6"/>
      <c r="D97" s="58"/>
      <c r="E97" s="58"/>
      <c r="F97" s="58"/>
      <c r="G97" s="58"/>
      <c r="H97" s="58"/>
      <c r="I97" s="58"/>
      <c r="J97" s="58"/>
      <c r="K97" s="58"/>
      <c r="L97" s="6"/>
    </row>
    <row r="98" spans="1:13" x14ac:dyDescent="0.25">
      <c r="A98" s="3"/>
      <c r="B98" s="59" t="s">
        <v>60</v>
      </c>
      <c r="C98" s="60"/>
      <c r="D98" s="58"/>
      <c r="E98" s="58"/>
      <c r="F98" s="58"/>
      <c r="G98" s="58"/>
      <c r="H98" s="58"/>
      <c r="I98" s="58"/>
      <c r="J98" s="58"/>
      <c r="K98" s="58"/>
      <c r="L98" s="6"/>
    </row>
    <row r="99" spans="1:13" x14ac:dyDescent="0.25">
      <c r="A99" s="3">
        <v>1</v>
      </c>
      <c r="B99" s="26" t="s">
        <v>131</v>
      </c>
      <c r="C99" s="6">
        <v>9258</v>
      </c>
      <c r="D99" s="58">
        <v>688408181</v>
      </c>
      <c r="E99" s="58">
        <f>D99/1000</f>
        <v>688408.18099999998</v>
      </c>
      <c r="F99" s="58">
        <v>95974110</v>
      </c>
      <c r="G99" s="58">
        <f>F99/1000</f>
        <v>95974.11</v>
      </c>
      <c r="H99" s="58">
        <v>149372975</v>
      </c>
      <c r="I99" s="58">
        <f>H99/1000</f>
        <v>149372.97500000001</v>
      </c>
      <c r="J99" s="58">
        <v>164755773</v>
      </c>
      <c r="K99" s="58">
        <f>J99/1000</f>
        <v>164755.77299999999</v>
      </c>
      <c r="L99" s="6">
        <v>192</v>
      </c>
    </row>
    <row r="100" spans="1:13" x14ac:dyDescent="0.25">
      <c r="A100" s="3">
        <v>2</v>
      </c>
      <c r="B100" s="26" t="s">
        <v>61</v>
      </c>
      <c r="C100" s="6">
        <v>16499</v>
      </c>
      <c r="D100" s="58">
        <v>805593240</v>
      </c>
      <c r="E100" s="58">
        <f t="shared" ref="E100:E114" si="16">D100/1000</f>
        <v>805593.24</v>
      </c>
      <c r="F100" s="58">
        <v>54673771.399999999</v>
      </c>
      <c r="G100" s="58">
        <f t="shared" ref="G100:G114" si="17">F100/1000</f>
        <v>54673.771399999998</v>
      </c>
      <c r="H100" s="58">
        <v>99166264</v>
      </c>
      <c r="I100" s="58">
        <f t="shared" ref="I100:I114" si="18">H100/1000</f>
        <v>99166.263999999996</v>
      </c>
      <c r="J100" s="58">
        <v>34416368.560000002</v>
      </c>
      <c r="K100" s="58">
        <f t="shared" ref="K100:K114" si="19">J100/1000</f>
        <v>34416.368560000003</v>
      </c>
      <c r="L100" s="6">
        <v>122.79170170170001</v>
      </c>
    </row>
    <row r="101" spans="1:13" x14ac:dyDescent="0.25">
      <c r="A101" s="3">
        <v>3</v>
      </c>
      <c r="B101" s="26" t="s">
        <v>62</v>
      </c>
      <c r="C101" s="6">
        <v>9497</v>
      </c>
      <c r="D101" s="58">
        <v>121500000</v>
      </c>
      <c r="E101" s="58">
        <f t="shared" si="16"/>
        <v>121500</v>
      </c>
      <c r="F101" s="58">
        <v>431665420</v>
      </c>
      <c r="G101" s="58">
        <f t="shared" si="17"/>
        <v>431665.42</v>
      </c>
      <c r="H101" s="58">
        <v>62978580</v>
      </c>
      <c r="I101" s="58">
        <f t="shared" si="18"/>
        <v>62978.58</v>
      </c>
      <c r="J101" s="58">
        <v>471644770</v>
      </c>
      <c r="K101" s="58">
        <f t="shared" si="19"/>
        <v>471644.77</v>
      </c>
      <c r="L101" s="6">
        <v>371.62</v>
      </c>
    </row>
    <row r="102" spans="1:13" x14ac:dyDescent="0.25">
      <c r="A102" s="3">
        <v>4</v>
      </c>
      <c r="B102" s="26" t="s">
        <v>63</v>
      </c>
      <c r="C102" s="6">
        <v>28099</v>
      </c>
      <c r="D102" s="58">
        <v>594000000</v>
      </c>
      <c r="E102" s="58">
        <f t="shared" si="16"/>
        <v>594000</v>
      </c>
      <c r="F102" s="58">
        <v>17153765.989999998</v>
      </c>
      <c r="G102" s="58">
        <f t="shared" si="17"/>
        <v>17153.76599</v>
      </c>
      <c r="H102" s="58">
        <v>41819168.289999999</v>
      </c>
      <c r="I102" s="58">
        <f t="shared" si="18"/>
        <v>41819.168290000001</v>
      </c>
      <c r="J102" s="58">
        <v>35309007.590000004</v>
      </c>
      <c r="K102" s="58">
        <f t="shared" si="19"/>
        <v>35309.007590000001</v>
      </c>
      <c r="L102" s="6">
        <v>125.63</v>
      </c>
      <c r="M102" s="48" t="s">
        <v>64</v>
      </c>
    </row>
    <row r="103" spans="1:13" x14ac:dyDescent="0.25">
      <c r="A103" s="3">
        <v>5</v>
      </c>
      <c r="B103" s="26" t="s">
        <v>65</v>
      </c>
      <c r="C103" s="6">
        <v>6428</v>
      </c>
      <c r="D103" s="58">
        <v>385200000</v>
      </c>
      <c r="E103" s="58">
        <f t="shared" si="16"/>
        <v>385200</v>
      </c>
      <c r="F103" s="58">
        <v>141674755</v>
      </c>
      <c r="G103" s="58">
        <f t="shared" si="17"/>
        <v>141674.755</v>
      </c>
      <c r="H103" s="58">
        <v>130864436</v>
      </c>
      <c r="I103" s="58">
        <f t="shared" si="18"/>
        <v>130864.436</v>
      </c>
      <c r="J103" s="58">
        <v>121770244</v>
      </c>
      <c r="K103" s="58">
        <f t="shared" si="19"/>
        <v>121770.24400000001</v>
      </c>
      <c r="L103" s="6">
        <v>199.33</v>
      </c>
    </row>
    <row r="104" spans="1:13" x14ac:dyDescent="0.25">
      <c r="A104" s="3">
        <v>6</v>
      </c>
      <c r="B104" s="26" t="s">
        <v>66</v>
      </c>
      <c r="C104" s="6">
        <v>12689</v>
      </c>
      <c r="D104" s="58">
        <v>880000000</v>
      </c>
      <c r="E104" s="58">
        <f t="shared" si="16"/>
        <v>880000</v>
      </c>
      <c r="F104" s="58">
        <v>124680000</v>
      </c>
      <c r="G104" s="58">
        <f t="shared" si="17"/>
        <v>124680</v>
      </c>
      <c r="H104" s="58">
        <v>151794000</v>
      </c>
      <c r="I104" s="58">
        <f t="shared" si="18"/>
        <v>151794</v>
      </c>
      <c r="J104" s="58">
        <v>179299000</v>
      </c>
      <c r="K104" s="58">
        <f t="shared" si="19"/>
        <v>179299</v>
      </c>
      <c r="L104" s="6">
        <v>219</v>
      </c>
    </row>
    <row r="105" spans="1:13" x14ac:dyDescent="0.25">
      <c r="A105" s="3">
        <v>7</v>
      </c>
      <c r="B105" s="26" t="s">
        <v>67</v>
      </c>
      <c r="C105" s="6">
        <v>9496</v>
      </c>
      <c r="D105" s="58">
        <v>784185589</v>
      </c>
      <c r="E105" s="58">
        <f t="shared" si="16"/>
        <v>784185.58900000004</v>
      </c>
      <c r="F105" s="58">
        <v>92183702</v>
      </c>
      <c r="G105" s="58">
        <f t="shared" si="17"/>
        <v>92183.702000000005</v>
      </c>
      <c r="H105" s="58">
        <v>121574394</v>
      </c>
      <c r="I105" s="58">
        <f t="shared" si="18"/>
        <v>121574.394</v>
      </c>
      <c r="J105" s="58">
        <v>208531771</v>
      </c>
      <c r="K105" s="58">
        <f t="shared" si="19"/>
        <v>208531.77100000001</v>
      </c>
      <c r="L105" s="6">
        <v>172.37</v>
      </c>
    </row>
    <row r="106" spans="1:13" x14ac:dyDescent="0.25">
      <c r="A106" s="3">
        <v>8</v>
      </c>
      <c r="B106" s="26" t="s">
        <v>68</v>
      </c>
      <c r="C106" s="6">
        <v>16870</v>
      </c>
      <c r="D106" s="58">
        <v>512325000</v>
      </c>
      <c r="E106" s="58">
        <f t="shared" si="16"/>
        <v>512325</v>
      </c>
      <c r="F106" s="58">
        <v>152814109</v>
      </c>
      <c r="G106" s="58">
        <f t="shared" si="17"/>
        <v>152814.109</v>
      </c>
      <c r="H106" s="58">
        <v>229513811</v>
      </c>
      <c r="I106" s="58">
        <f t="shared" si="18"/>
        <v>229513.81099999999</v>
      </c>
      <c r="J106" s="58">
        <v>230997548</v>
      </c>
      <c r="K106" s="58">
        <f t="shared" si="19"/>
        <v>230997.54800000001</v>
      </c>
      <c r="L106" s="6">
        <v>249</v>
      </c>
    </row>
    <row r="107" spans="1:13" x14ac:dyDescent="0.25">
      <c r="A107" s="3">
        <v>9</v>
      </c>
      <c r="B107" s="26" t="s">
        <v>69</v>
      </c>
      <c r="C107" s="6">
        <v>154043</v>
      </c>
      <c r="D107" s="58">
        <v>3096428625</v>
      </c>
      <c r="E107" s="58">
        <f t="shared" si="16"/>
        <v>3096428.625</v>
      </c>
      <c r="F107" s="58">
        <v>527555789</v>
      </c>
      <c r="G107" s="58">
        <f t="shared" si="17"/>
        <v>527555.78899999999</v>
      </c>
      <c r="H107" s="58">
        <v>906634254</v>
      </c>
      <c r="I107" s="58">
        <f t="shared" si="18"/>
        <v>906634.25399999996</v>
      </c>
      <c r="J107" s="58">
        <v>404998545</v>
      </c>
      <c r="K107" s="58">
        <f t="shared" si="19"/>
        <v>404998.54499999998</v>
      </c>
      <c r="L107" s="6">
        <v>259.81</v>
      </c>
    </row>
    <row r="108" spans="1:13" x14ac:dyDescent="0.25">
      <c r="A108" s="3">
        <v>10</v>
      </c>
      <c r="B108" s="26" t="s">
        <v>70</v>
      </c>
      <c r="C108" s="6">
        <v>8920</v>
      </c>
      <c r="D108" s="58">
        <v>1656079570</v>
      </c>
      <c r="E108" s="58">
        <f t="shared" si="16"/>
        <v>1656079.57</v>
      </c>
      <c r="F108" s="58">
        <v>263708000</v>
      </c>
      <c r="G108" s="58">
        <f t="shared" si="17"/>
        <v>263708</v>
      </c>
      <c r="H108" s="58">
        <v>349719000</v>
      </c>
      <c r="I108" s="58">
        <f t="shared" si="18"/>
        <v>349719</v>
      </c>
      <c r="J108" s="58">
        <v>235523000</v>
      </c>
      <c r="K108" s="58">
        <f t="shared" si="19"/>
        <v>235523</v>
      </c>
      <c r="L108" s="6">
        <v>146.13</v>
      </c>
    </row>
    <row r="109" spans="1:13" x14ac:dyDescent="0.25">
      <c r="A109" s="3">
        <v>11</v>
      </c>
      <c r="B109" s="26" t="s">
        <v>71</v>
      </c>
      <c r="C109" s="6">
        <v>3215</v>
      </c>
      <c r="D109" s="58">
        <v>427680000</v>
      </c>
      <c r="E109" s="58">
        <f t="shared" si="16"/>
        <v>427680</v>
      </c>
      <c r="F109" s="58">
        <v>427680000</v>
      </c>
      <c r="G109" s="58">
        <f t="shared" si="17"/>
        <v>427680</v>
      </c>
      <c r="H109" s="58">
        <v>153272917</v>
      </c>
      <c r="I109" s="58">
        <f t="shared" si="18"/>
        <v>153272.91699999999</v>
      </c>
      <c r="J109" s="58">
        <v>171381554</v>
      </c>
      <c r="K109" s="58">
        <f t="shared" si="19"/>
        <v>171381.554</v>
      </c>
      <c r="L109" s="6">
        <v>214</v>
      </c>
    </row>
    <row r="110" spans="1:13" x14ac:dyDescent="0.25">
      <c r="A110" s="3">
        <v>12</v>
      </c>
      <c r="B110" s="26" t="s">
        <v>72</v>
      </c>
      <c r="C110" s="6">
        <v>27799</v>
      </c>
      <c r="D110" s="58">
        <v>610200000</v>
      </c>
      <c r="E110" s="58">
        <f t="shared" si="16"/>
        <v>610200</v>
      </c>
      <c r="F110" s="58">
        <v>66343000</v>
      </c>
      <c r="G110" s="58">
        <f t="shared" si="17"/>
        <v>66343</v>
      </c>
      <c r="H110" s="58">
        <v>145884000</v>
      </c>
      <c r="I110" s="58">
        <f t="shared" si="18"/>
        <v>145884</v>
      </c>
      <c r="J110" s="58">
        <v>238881000</v>
      </c>
      <c r="K110" s="58">
        <f t="shared" si="19"/>
        <v>238881</v>
      </c>
      <c r="L110" s="6">
        <v>247.68</v>
      </c>
    </row>
    <row r="111" spans="1:13" x14ac:dyDescent="0.25">
      <c r="A111" s="3">
        <v>13</v>
      </c>
      <c r="B111" s="26" t="s">
        <v>73</v>
      </c>
      <c r="C111" s="6">
        <v>7030</v>
      </c>
      <c r="D111" s="58">
        <v>538291900</v>
      </c>
      <c r="E111" s="58">
        <f t="shared" si="16"/>
        <v>538291.9</v>
      </c>
      <c r="F111" s="58">
        <v>75052644</v>
      </c>
      <c r="G111" s="58">
        <f t="shared" si="17"/>
        <v>75052.644</v>
      </c>
      <c r="H111" s="58">
        <v>206753646</v>
      </c>
      <c r="I111" s="58">
        <f t="shared" si="18"/>
        <v>206753.64600000001</v>
      </c>
      <c r="J111" s="58">
        <v>276207115</v>
      </c>
      <c r="K111" s="58">
        <f t="shared" si="19"/>
        <v>276207.11499999999</v>
      </c>
      <c r="L111" s="6">
        <v>239.9</v>
      </c>
    </row>
    <row r="112" spans="1:13" x14ac:dyDescent="0.25">
      <c r="A112" s="3">
        <v>14</v>
      </c>
      <c r="B112" s="26" t="s">
        <v>74</v>
      </c>
      <c r="C112" s="6">
        <v>13810</v>
      </c>
      <c r="D112" s="58">
        <v>817668300</v>
      </c>
      <c r="E112" s="58">
        <f t="shared" si="16"/>
        <v>817668.3</v>
      </c>
      <c r="F112" s="58">
        <v>219618856</v>
      </c>
      <c r="G112" s="58">
        <f t="shared" si="17"/>
        <v>219618.856</v>
      </c>
      <c r="H112" s="58">
        <v>306611312</v>
      </c>
      <c r="I112" s="58">
        <f t="shared" si="18"/>
        <v>306611.31199999998</v>
      </c>
      <c r="J112" s="58">
        <v>360003789</v>
      </c>
      <c r="K112" s="58">
        <f t="shared" si="19"/>
        <v>360003.78899999999</v>
      </c>
      <c r="L112" s="6">
        <v>216.8</v>
      </c>
    </row>
    <row r="113" spans="1:14" x14ac:dyDescent="0.25">
      <c r="A113" s="3">
        <v>15</v>
      </c>
      <c r="B113" s="26" t="s">
        <v>75</v>
      </c>
      <c r="C113" s="6">
        <v>15024</v>
      </c>
      <c r="D113" s="58">
        <v>641421000</v>
      </c>
      <c r="E113" s="58">
        <f t="shared" si="16"/>
        <v>641421</v>
      </c>
      <c r="F113" s="58">
        <v>169984000</v>
      </c>
      <c r="G113" s="58">
        <f t="shared" si="17"/>
        <v>169984</v>
      </c>
      <c r="H113" s="58">
        <v>186082000</v>
      </c>
      <c r="I113" s="58">
        <f t="shared" si="18"/>
        <v>186082</v>
      </c>
      <c r="J113" s="58">
        <v>224392000</v>
      </c>
      <c r="K113" s="58">
        <f t="shared" si="19"/>
        <v>224392</v>
      </c>
      <c r="L113" s="6">
        <v>212.83</v>
      </c>
    </row>
    <row r="114" spans="1:14" x14ac:dyDescent="0.25">
      <c r="A114" s="3">
        <v>16</v>
      </c>
      <c r="B114" s="26" t="s">
        <v>76</v>
      </c>
      <c r="C114" s="6">
        <v>16854</v>
      </c>
      <c r="D114" s="58">
        <v>721875000</v>
      </c>
      <c r="E114" s="58">
        <f t="shared" si="16"/>
        <v>721875</v>
      </c>
      <c r="F114" s="58">
        <v>21942000</v>
      </c>
      <c r="G114" s="58">
        <f t="shared" si="17"/>
        <v>21942</v>
      </c>
      <c r="H114" s="58">
        <v>132467000</v>
      </c>
      <c r="I114" s="58">
        <f t="shared" si="18"/>
        <v>132467</v>
      </c>
      <c r="J114" s="58">
        <v>104164000</v>
      </c>
      <c r="K114" s="58">
        <f t="shared" si="19"/>
        <v>104164</v>
      </c>
      <c r="L114" s="6">
        <v>135.25</v>
      </c>
    </row>
    <row r="115" spans="1:14" x14ac:dyDescent="0.25">
      <c r="A115" s="3">
        <v>17</v>
      </c>
      <c r="B115" s="67" t="s">
        <v>132</v>
      </c>
      <c r="C115" s="80">
        <v>15685</v>
      </c>
      <c r="D115" s="58"/>
      <c r="E115" s="58">
        <v>13346775</v>
      </c>
      <c r="F115" s="58"/>
      <c r="G115" s="58">
        <v>249042.17499999999</v>
      </c>
      <c r="H115" s="58"/>
      <c r="I115" s="58">
        <v>321435.18</v>
      </c>
      <c r="J115" s="58"/>
      <c r="K115" s="58">
        <v>141799.242</v>
      </c>
      <c r="L115" s="6">
        <v>126.05</v>
      </c>
    </row>
    <row r="116" spans="1:14" x14ac:dyDescent="0.25">
      <c r="A116" s="61"/>
      <c r="B116" s="62"/>
      <c r="C116" s="63"/>
      <c r="D116" s="64"/>
      <c r="E116" s="64"/>
      <c r="F116" s="64"/>
      <c r="G116" s="64"/>
      <c r="H116" s="64"/>
      <c r="I116" s="64"/>
      <c r="J116" s="64"/>
      <c r="K116" s="64"/>
      <c r="L116" s="65"/>
    </row>
    <row r="117" spans="1:14" x14ac:dyDescent="0.25">
      <c r="A117" s="3"/>
      <c r="B117" s="59" t="s">
        <v>77</v>
      </c>
      <c r="C117" s="60"/>
      <c r="D117" s="58"/>
      <c r="E117" s="58"/>
      <c r="F117" s="58"/>
      <c r="G117" s="58"/>
      <c r="H117" s="58"/>
      <c r="I117" s="58"/>
      <c r="J117" s="58"/>
      <c r="K117" s="58"/>
      <c r="L117" s="6"/>
    </row>
    <row r="118" spans="1:14" x14ac:dyDescent="0.25">
      <c r="A118" s="3">
        <v>1</v>
      </c>
      <c r="B118" s="26" t="s">
        <v>78</v>
      </c>
      <c r="C118" s="6">
        <v>23240</v>
      </c>
      <c r="D118" s="58">
        <v>933012300</v>
      </c>
      <c r="E118" s="58">
        <f>D118/1000</f>
        <v>933012.3</v>
      </c>
      <c r="F118" s="58">
        <v>59187198.979999997</v>
      </c>
      <c r="G118" s="58">
        <f>F118/1000</f>
        <v>59187.198979999994</v>
      </c>
      <c r="H118" s="58">
        <v>64488855</v>
      </c>
      <c r="I118" s="58">
        <f>H118/1000</f>
        <v>64488.855000000003</v>
      </c>
      <c r="J118" s="58">
        <v>90666661</v>
      </c>
      <c r="K118" s="58">
        <f>J118/1000</f>
        <v>90666.660999999993</v>
      </c>
      <c r="L118" s="6">
        <v>113.88</v>
      </c>
    </row>
    <row r="119" spans="1:14" x14ac:dyDescent="0.25">
      <c r="A119" s="3">
        <v>2</v>
      </c>
      <c r="B119" s="26" t="s">
        <v>79</v>
      </c>
      <c r="C119" s="6">
        <v>3621</v>
      </c>
      <c r="D119" s="58">
        <v>1810572000</v>
      </c>
      <c r="E119" s="58">
        <f t="shared" ref="E119:E122" si="20">D119/1000</f>
        <v>1810572</v>
      </c>
      <c r="F119" s="58">
        <v>479828487</v>
      </c>
      <c r="G119" s="58">
        <f t="shared" ref="G119:G122" si="21">F119/1000</f>
        <v>479828.48700000002</v>
      </c>
      <c r="H119" s="58">
        <v>619429107</v>
      </c>
      <c r="I119" s="58">
        <f t="shared" ref="I119:I122" si="22">H119/1000</f>
        <v>619429.10699999996</v>
      </c>
      <c r="J119" s="58">
        <v>668021904</v>
      </c>
      <c r="K119" s="58">
        <f t="shared" ref="K119:K122" si="23">J119/1000</f>
        <v>668021.90399999998</v>
      </c>
      <c r="L119" s="6">
        <v>242.6</v>
      </c>
      <c r="N119" s="66"/>
    </row>
    <row r="120" spans="1:14" x14ac:dyDescent="0.25">
      <c r="A120" s="3">
        <v>3</v>
      </c>
      <c r="B120" s="26" t="s">
        <v>80</v>
      </c>
      <c r="C120" s="6">
        <v>74569</v>
      </c>
      <c r="D120" s="58">
        <v>3447924480</v>
      </c>
      <c r="E120" s="58">
        <f t="shared" si="20"/>
        <v>3447924.48</v>
      </c>
      <c r="F120" s="58">
        <v>853528644</v>
      </c>
      <c r="G120" s="58">
        <f t="shared" si="21"/>
        <v>853528.64399999997</v>
      </c>
      <c r="H120" s="58">
        <v>935529593</v>
      </c>
      <c r="I120" s="58">
        <f t="shared" si="22"/>
        <v>935529.59299999999</v>
      </c>
      <c r="J120" s="58">
        <v>934024702</v>
      </c>
      <c r="K120" s="58">
        <f t="shared" si="23"/>
        <v>934024.70200000005</v>
      </c>
      <c r="L120" s="6">
        <v>242.29</v>
      </c>
    </row>
    <row r="121" spans="1:14" x14ac:dyDescent="0.25">
      <c r="A121" s="3">
        <v>4</v>
      </c>
      <c r="B121" s="67" t="s">
        <v>81</v>
      </c>
      <c r="C121" s="6">
        <v>63979</v>
      </c>
      <c r="D121" s="58">
        <v>472595300</v>
      </c>
      <c r="E121" s="58">
        <f t="shared" si="20"/>
        <v>472595.3</v>
      </c>
      <c r="F121" s="58">
        <v>45717346</v>
      </c>
      <c r="G121" s="58">
        <f t="shared" si="21"/>
        <v>45717.345999999998</v>
      </c>
      <c r="H121" s="58">
        <v>18159560</v>
      </c>
      <c r="I121" s="58">
        <f t="shared" si="22"/>
        <v>18159.560000000001</v>
      </c>
      <c r="J121" s="58">
        <v>21476717</v>
      </c>
      <c r="K121" s="58">
        <f t="shared" si="23"/>
        <v>21476.717000000001</v>
      </c>
      <c r="L121" s="6">
        <v>107.7</v>
      </c>
    </row>
    <row r="122" spans="1:14" x14ac:dyDescent="0.25">
      <c r="A122" s="3">
        <v>5</v>
      </c>
      <c r="B122" s="32" t="s">
        <v>133</v>
      </c>
      <c r="C122" s="6">
        <v>57980</v>
      </c>
      <c r="D122" s="58">
        <v>535554800</v>
      </c>
      <c r="E122" s="58">
        <f t="shared" si="20"/>
        <v>535554.80000000005</v>
      </c>
      <c r="F122" s="58">
        <v>72611320</v>
      </c>
      <c r="G122" s="58">
        <f t="shared" si="21"/>
        <v>72611.320000000007</v>
      </c>
      <c r="H122" s="58">
        <v>51926130</v>
      </c>
      <c r="I122" s="58">
        <f t="shared" si="22"/>
        <v>51926.13</v>
      </c>
      <c r="J122" s="58">
        <v>51389270</v>
      </c>
      <c r="K122" s="58">
        <f t="shared" si="23"/>
        <v>51389.27</v>
      </c>
      <c r="L122" s="6">
        <v>105.78</v>
      </c>
    </row>
    <row r="123" spans="1:14" x14ac:dyDescent="0.25">
      <c r="B123" s="49"/>
      <c r="C123" s="6"/>
      <c r="D123" s="58"/>
      <c r="E123" s="58"/>
      <c r="F123" s="58"/>
      <c r="G123" s="58"/>
      <c r="H123" s="58"/>
      <c r="I123" s="58"/>
      <c r="J123" s="58"/>
      <c r="K123" s="58"/>
      <c r="L123" s="6"/>
    </row>
    <row r="124" spans="1:14" x14ac:dyDescent="0.25">
      <c r="A124" s="3"/>
      <c r="B124" s="44" t="s">
        <v>82</v>
      </c>
      <c r="C124" s="68"/>
      <c r="D124" s="58"/>
      <c r="E124" s="58"/>
      <c r="F124" s="58"/>
      <c r="G124" s="58"/>
      <c r="H124" s="58"/>
      <c r="I124" s="58"/>
      <c r="J124" s="58"/>
      <c r="K124" s="58"/>
      <c r="L124" s="6"/>
    </row>
    <row r="125" spans="1:14" x14ac:dyDescent="0.25">
      <c r="A125" s="3">
        <v>1</v>
      </c>
      <c r="B125" s="26" t="s">
        <v>83</v>
      </c>
      <c r="C125" s="6">
        <v>29843</v>
      </c>
      <c r="D125" s="58">
        <v>791725752</v>
      </c>
      <c r="E125" s="58">
        <f>D125/1000</f>
        <v>791725.75199999998</v>
      </c>
      <c r="F125" s="58">
        <v>190185487</v>
      </c>
      <c r="G125" s="58">
        <f>F125/1000</f>
        <v>190185.48699999999</v>
      </c>
      <c r="H125" s="58">
        <v>108128919</v>
      </c>
      <c r="I125" s="58">
        <f>H125/1000</f>
        <v>108128.91899999999</v>
      </c>
      <c r="J125" s="58">
        <v>238770363</v>
      </c>
      <c r="K125" s="58">
        <f>J125/1000</f>
        <v>238770.36300000001</v>
      </c>
      <c r="L125" s="6">
        <v>228.9</v>
      </c>
    </row>
    <row r="126" spans="1:14" x14ac:dyDescent="0.25">
      <c r="A126" s="77">
        <v>2</v>
      </c>
      <c r="B126" s="69" t="s">
        <v>84</v>
      </c>
      <c r="C126" s="70">
        <v>5373</v>
      </c>
      <c r="D126" s="71">
        <v>579181300</v>
      </c>
      <c r="E126" s="71">
        <f>D126/1000</f>
        <v>579181.30000000005</v>
      </c>
      <c r="F126" s="71">
        <v>220091000</v>
      </c>
      <c r="G126" s="71">
        <f>F126/1000</f>
        <v>220091</v>
      </c>
      <c r="H126" s="71">
        <v>99884000</v>
      </c>
      <c r="I126" s="71">
        <f>H126/1000</f>
        <v>99884</v>
      </c>
      <c r="J126" s="71">
        <v>203546000</v>
      </c>
      <c r="K126" s="71">
        <f>J126/1000</f>
        <v>203546</v>
      </c>
      <c r="L126" s="70">
        <v>10</v>
      </c>
    </row>
    <row r="127" spans="1:14" x14ac:dyDescent="0.25">
      <c r="A127" s="3"/>
      <c r="B127" s="32"/>
      <c r="C127" s="6"/>
      <c r="D127" s="58"/>
      <c r="E127" s="58"/>
      <c r="F127" s="58"/>
      <c r="G127" s="58"/>
      <c r="H127" s="58"/>
      <c r="I127" s="58"/>
      <c r="J127" s="58"/>
      <c r="K127" s="58"/>
      <c r="L127" s="6"/>
    </row>
    <row r="128" spans="1:14" x14ac:dyDescent="0.25">
      <c r="A128" s="3"/>
      <c r="B128" s="44" t="s">
        <v>85</v>
      </c>
      <c r="C128" s="6"/>
      <c r="D128" s="72"/>
      <c r="E128" s="72"/>
      <c r="F128" s="58"/>
      <c r="G128" s="58"/>
      <c r="H128" s="58"/>
      <c r="I128" s="58"/>
      <c r="J128" s="58"/>
      <c r="K128" s="58"/>
      <c r="L128" s="6"/>
    </row>
    <row r="129" spans="1:12" x14ac:dyDescent="0.25">
      <c r="A129" s="57">
        <v>1</v>
      </c>
      <c r="B129" s="73" t="s">
        <v>86</v>
      </c>
      <c r="C129" s="74">
        <v>13296</v>
      </c>
      <c r="D129" s="75">
        <v>150000000</v>
      </c>
      <c r="E129" s="75">
        <f>D129/1000</f>
        <v>150000</v>
      </c>
      <c r="F129" s="75">
        <v>14556338378</v>
      </c>
      <c r="G129" s="75">
        <f>F129/1000</f>
        <v>14556338.378</v>
      </c>
      <c r="H129" s="75">
        <v>13554439436</v>
      </c>
      <c r="I129" s="75">
        <f>H129/1000</f>
        <v>13554439.436000001</v>
      </c>
      <c r="J129" s="75">
        <v>15372764126</v>
      </c>
      <c r="K129" s="75">
        <f>J129/1000</f>
        <v>15372764.126</v>
      </c>
      <c r="L129" s="74">
        <v>608.87</v>
      </c>
    </row>
    <row r="130" spans="1:12" x14ac:dyDescent="0.25">
      <c r="A130" s="16">
        <v>2</v>
      </c>
      <c r="B130" s="26" t="s">
        <v>87</v>
      </c>
      <c r="C130" s="6">
        <v>6355</v>
      </c>
      <c r="D130" s="39">
        <v>740265000</v>
      </c>
      <c r="E130" s="75">
        <f>D130/1000</f>
        <v>740265</v>
      </c>
      <c r="F130" s="39">
        <v>1861460</v>
      </c>
      <c r="G130" s="75">
        <f>F130/100</f>
        <v>18614.599999999999</v>
      </c>
      <c r="H130" s="39">
        <v>2372220</v>
      </c>
      <c r="I130" s="39">
        <f>H130/100</f>
        <v>23722.2</v>
      </c>
      <c r="J130" s="39">
        <v>2845470</v>
      </c>
      <c r="K130" s="39">
        <f>J130/100</f>
        <v>28454.7</v>
      </c>
      <c r="L130" s="6">
        <v>215.05</v>
      </c>
    </row>
    <row r="131" spans="1:12" x14ac:dyDescent="0.25">
      <c r="B131" s="76"/>
      <c r="C131" s="76"/>
    </row>
  </sheetData>
  <mergeCells count="6">
    <mergeCell ref="A1:L1"/>
    <mergeCell ref="A2:L2"/>
    <mergeCell ref="A3:L3"/>
    <mergeCell ref="C4:C5"/>
    <mergeCell ref="E4:E5"/>
    <mergeCell ref="G4:K4"/>
  </mergeCells>
  <hyperlinks>
    <hyperlink ref="B48" r:id="rId1" display="http://www.nepalstock.com/companydetail.php?StockSymbol=NLBBL"/>
    <hyperlink ref="B36" r:id="rId2" display="http://www.nepalstock.com/companydetail.php?StockSymbol=SWBBL"/>
    <hyperlink ref="B37" r:id="rId3" display="http://www.nepalstock.com/companydetail.php?StockSymbol=BNT"/>
    <hyperlink ref="B39" r:id="rId4" display="http://www.nepalstock.com/companydetail.php?StockSymbol=BSL"/>
    <hyperlink ref="B42" r:id="rId5" display="http://www.nepalstock.com/companydetail.php?StockSymbol=BSM"/>
    <hyperlink ref="B40" r:id="rId6" display="http://www.nepalstock.com/companydetail.php?StockSymbol=FHL"/>
    <hyperlink ref="B41" r:id="rId7" display="http://www.nepalstock.com/companydetail.php?StockSymbol=HDL"/>
    <hyperlink ref="B43" r:id="rId8" display="http://www.nepalstock.com/companydetail.php?StockSymbol=JSM"/>
    <hyperlink ref="B46" r:id="rId9" display="http://www.nepalstock.com/companydetail.php?StockSymbol=RJM"/>
    <hyperlink ref="B35" r:id="rId10" display="http://www.nepalstock.com/companydetail.php?StockSymbol=SRS"/>
    <hyperlink ref="B51" r:id="rId11" display="http://www.nepalstock.com/companydetail.php?StockSymbol=GRU"/>
    <hyperlink ref="B58" r:id="rId12" display="http://www.nepalstock.com/companydetail.php?StockSymbol=CFCL"/>
    <hyperlink ref="B130" r:id="rId13" display="http://www.nepalstock.com/companydetail.php?StockSymbol=CIT"/>
    <hyperlink ref="B59" r:id="rId14" display="http://www.nepalstock.com/companydetail.php?StockSymbol=GFCL"/>
    <hyperlink ref="B61" r:id="rId15" display="http://www.nepalstock.com/companydetail.php?StockSymbol=ICFC"/>
    <hyperlink ref="B62" r:id="rId16" display="http://www.nepalstock.com/companydetail.php?StockSymbol=JFL"/>
    <hyperlink ref="B66" r:id="rId17" display="http://www.nepalstock.com/companydetail.php?StockSymbol=PFL"/>
    <hyperlink ref="B68" r:id="rId18" display="http://www.nepalstock.com/companydetail.php?StockSymbol=SFFIL"/>
    <hyperlink ref="B73" r:id="rId19" display="http://www.nepalstock.com/companydetail.php?StockSymbol=FMDBL"/>
    <hyperlink ref="B84" r:id="rId20" display="http://www.nepalstock.com/companydetail.php?StockSymbol=NLBBL"/>
    <hyperlink ref="B87" r:id="rId21" display="http://www.nepalstock.com/companydetail.php?StockSymbol=SMFDB"/>
    <hyperlink ref="B88" r:id="rId22" display="http://www.nepalstock.com/companydetail.php?StockSymbol=SWBBL"/>
    <hyperlink ref="B96" r:id="rId23" display="http://www.nepalstock.com/companydetail.php?StockSymbol=NFD"/>
    <hyperlink ref="B100" r:id="rId24" display="http://www.nepalstock.com/companydetail.php?StockSymbol=ALICL"/>
    <hyperlink ref="B101" r:id="rId25" display="http://www.nepalstock.com/companydetail.php?StockSymbol=EIC"/>
    <hyperlink ref="B102" r:id="rId26" display="http://www.nepalstock.com/companydetail.php?StockSymbol=GLICL"/>
    <hyperlink ref="B103" r:id="rId27" display="http://www.nepalstock.com/companydetail.php?StockSymbol=HGI"/>
    <hyperlink ref="B104" r:id="rId28" display="http://www.nepalstock.com/companydetail.php?StockSymbol=LGIL"/>
    <hyperlink ref="B105" r:id="rId29" display="http://www.nepalstock.com/companydetail.php?StockSymbol=NIL"/>
    <hyperlink ref="B106" r:id="rId30" display="http://www.nepalstock.com/companydetail.php?StockSymbol=NLG"/>
    <hyperlink ref="B107" r:id="rId31" display="http://www.nepalstock.com/companydetail.php?StockSymbol=NLIC"/>
    <hyperlink ref="B108" r:id="rId32" display="http://www.nepalstock.com/companydetail.php?StockSymbol=NLICL"/>
    <hyperlink ref="B109" r:id="rId33" display="http://www.nepalstock.com/companydetail.php?StockSymbol=PICL"/>
    <hyperlink ref="B110" r:id="rId34" display="http://www.nepalstock.com/companydetail.php?StockSymbol=PLIC"/>
    <hyperlink ref="B111" r:id="rId35" display="http://www.nepalstock.com/companydetail.php?StockSymbol=SIC"/>
    <hyperlink ref="B112" r:id="rId36" display="http://www.nepalstock.com/companydetail.php?StockSymbol=SICL"/>
    <hyperlink ref="B113" r:id="rId37" display="http://www.nepalstock.com/companydetail.php?StockSymbol=SIL"/>
    <hyperlink ref="B114" r:id="rId38" display="http://www.nepalstock.com/companydetail.php?StockSymbol=SLICL"/>
    <hyperlink ref="B119" r:id="rId39" display="http://www.nepalstock.com/companydetail.php?StockSymbol=BPCL"/>
    <hyperlink ref="B120" r:id="rId40" display="http://www.nepalstock.com/companydetail.php?StockSymbol=CHCL"/>
    <hyperlink ref="B125" r:id="rId41" display="http://www.nepalstock.com/companydetail.php?StockSymbol=OHL"/>
    <hyperlink ref="B126" r:id="rId42" display="http://www.nepalstock.com/companydetail.php?StockSymbol=SHL"/>
    <hyperlink ref="B129" r:id="rId43" display="http://www.nepalstock.com/companydetail.php?StockSymbol=NTC"/>
    <hyperlink ref="B55" r:id="rId44" display="http://www.nepalstock.com/companydetail.php?StockSymbol=NVG"/>
  </hyperlinks>
  <pageMargins left="0.7" right="0.7" top="0.75" bottom="0.75" header="0.3" footer="0.3"/>
  <pageSetup paperSize="9" orientation="portrait" verticalDpi="0"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2018-07-31T09:10:49Z</dcterms:created>
  <dcterms:modified xsi:type="dcterms:W3CDTF">2018-07-31T09:57:36Z</dcterms:modified>
</cp:coreProperties>
</file>